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ata Quality" sheetId="2" state="visible" r:id="rId4"/>
    <sheet name="Target Imbalance" sheetId="3" state="visible" r:id="rId5"/>
    <sheet name="Numeric Vars by Target" sheetId="4" state="visible" r:id="rId6"/>
    <sheet name="Categorical Vars by Target" sheetId="5" state="visible" r:id="rId7"/>
    <sheet name="Correlation Analysis" sheetId="6" state="visible" r:id="rId8"/>
    <sheet name="Previous Application Analysis" sheetId="7" state="visible" r:id="rId9"/>
    <sheet name="Recommenda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<sst xmlns="http://schemas.openxmlformats.org/spreadsheetml/2006/main" count="304" uniqueCount="201">
  <si>
    <t xml:space="preserve">Credit EDA Case Study — Executive Summary</t>
  </si>
  <si>
    <t xml:space="preserve">Identifying applicant patterns linked to payment difficulty (TARGET=1) | Home Credit Default Risk dataset</t>
  </si>
  <si>
    <t xml:space="preserve">Dataset overview</t>
  </si>
  <si>
    <t xml:space="preserve">application_data.csv: 307,511 loan applications x 122 fields. previous_application.csv: 1,670,214 prior loan records x 37 fields, linked via SK_ID_CURR.</t>
  </si>
  <si>
    <t xml:space="preserve">Class imbalance</t>
  </si>
  <si>
    <t xml:space="preserve">TARGET is heavily imbalanced: 91.93% of applicants repaid on time (TARGET=0) vs 8.07% had payment difficulty (TARGET=1). Any comparison between segments must account for this skew — raw counts will always favor TARGET=0.</t>
  </si>
  <si>
    <t xml:space="preserve">Data quality</t>
  </si>
  <si>
    <t xml:space="preserve">67 of 122 columns had missing values; 49 columns exceeded 40% missing (mostly building/apartment detail fields) and were dropped for the core analysis. DAYS_EMPLOYED contained a placeholder anomaly (365243, ~18% of rows) representing pensioners/unemployed, corrected to NULL before deriving YEARS_EMPLOYED.</t>
  </si>
  <si>
    <t xml:space="preserve">Strongest risk indicators found</t>
  </si>
  <si>
    <t xml:space="preserve">1) EXT_SOURCE_2 and EXT_SOURCE_3 (external credit bureau scores) — sharply lower among defaulters (median 0.44/0.38) vs non-defaulters (0.57/0.55). 2) Applicant age — default rate falls monotonically from 11.4% (20-30 yrs) to 4.9% (60-70 yrs). 3) Years employed — defaulters have shorter tenure (median 3.4 yrs vs 4.6 yrs). 4) Prior loan refusals — clients with 5+ prior refusals from this lender default at 14.1% vs 7.0% for clients with zero prior refusals — a near-monotonic relationship. 5) Income type / occupation — Low-skill Laborers (17.2%), Drivers (11.3%) and Working income type (9.6%) show materially higher default rates than Pensioners (5.4%) or State servants (5.8%). 6) Education — Lower secondary education defaults at 10.9% vs 5.4% for Higher education. 7) Housing — Rented apartment (12.3%) and Living with parents (11.7%) default more than House/apartment owners (7.8%).</t>
  </si>
  <si>
    <t xml:space="preserve">Weak / non-indicators</t>
  </si>
  <si>
    <t xml:space="preserve">Loan amount, credit-to-income ratio, and annuity-to-income ratio show only marginal differences between the two groups at the median — the amount requested is a weaker signal than the applicant's underlying financial stability and history.</t>
  </si>
  <si>
    <t xml:space="preserve">Correlation structure shifts</t>
  </si>
  <si>
    <t xml:space="preserve">The correlation between AMT_INCOME_TOTAL and AMT_CREDIT/AMT_ANNUITY collapses from ~0.35-0.42 (TARGET=0) to ~0.04-0.05 (TARGET=1) — among defaulters, loan size is no longer well-anchored to income, a useful underwriting flag.</t>
  </si>
  <si>
    <t xml:space="preserve">Recommended actions</t>
  </si>
  <si>
    <t xml:space="preserve">Weight EXT_SOURCE scores and applicant age heavily in scoring; treat repeated prior refusals as a strong escalation trigger (manual review / higher rate tier); apply extra scrutiny to Low-skill Laborers, Drivers and short-tenure (&lt;2 yr) applicants; do not rely on credit-to-income ratio alone as a risk cut-off.</t>
  </si>
  <si>
    <t xml:space="preserve">Data Quality Assessment</t>
  </si>
  <si>
    <t xml:space="preserve">Missing values and outlier detection (application_data.csv)</t>
  </si>
  <si>
    <t xml:space="preserve">Top 20 columns by % missing (application_data.csv, 307,511 rows)</t>
  </si>
  <si>
    <t xml:space="preserve">Column</t>
  </si>
  <si>
    <t xml:space="preserve">pct_missing</t>
  </si>
  <si>
    <t xml:space="preserve">COMMONAREA_AVG</t>
  </si>
  <si>
    <t xml:space="preserve">COMMONAREA_MODE</t>
  </si>
  <si>
    <t xml:space="preserve">COMMONAREA_MEDI</t>
  </si>
  <si>
    <t xml:space="preserve">NONLIVINGAPARTMENTS_MEDI</t>
  </si>
  <si>
    <t xml:space="preserve">NONLIVINGAPARTMENTS_MODE</t>
  </si>
  <si>
    <t xml:space="preserve">NONLIVINGAPARTMENTS_AVG</t>
  </si>
  <si>
    <t xml:space="preserve">FONDKAPREMONT_MODE</t>
  </si>
  <si>
    <t xml:space="preserve">LIVINGAPARTMENTS_AVG</t>
  </si>
  <si>
    <t xml:space="preserve">LIVINGAPARTMENTS_MEDI</t>
  </si>
  <si>
    <t xml:space="preserve">LIVINGAPARTMENTS_MODE</t>
  </si>
  <si>
    <t xml:space="preserve">FLOORSMIN_MODE</t>
  </si>
  <si>
    <t xml:space="preserve">FLOORSMIN_AVG</t>
  </si>
  <si>
    <t xml:space="preserve">FLOORSMIN_MEDI</t>
  </si>
  <si>
    <t xml:space="preserve">YEARS_BUILD_AVG</t>
  </si>
  <si>
    <t xml:space="preserve">YEARS_BUILD_MODE</t>
  </si>
  <si>
    <t xml:space="preserve">YEARS_BUILD_MEDI</t>
  </si>
  <si>
    <t xml:space="preserve">OWN_CAR_AGE</t>
  </si>
  <si>
    <t xml:space="preserve">LANDAREA_MEDI</t>
  </si>
  <si>
    <t xml:space="preserve">LANDAREA_AVG</t>
  </si>
  <si>
    <t xml:space="preserve">LANDAREA_MODE</t>
  </si>
  <si>
    <t xml:space="preserve">Note: 49 columns exceeded 40% missing and were excluded from the core analysis (mostly building/apartment survey fields e.g. COMMONAREA_*, NONLIVINGAPARTMENTS_*, YEARS_BUILD_*).</t>
  </si>
  <si>
    <t xml:space="preserve">Outlier scan — key numeric fields (IQR method, upper whisker = Q3 + 1.5xIQR)</t>
  </si>
  <si>
    <t xml:space="preserve">Variable</t>
  </si>
  <si>
    <t xml:space="preserve">Median</t>
  </si>
  <si>
    <t xml:space="preserve">Upper_Whisker</t>
  </si>
  <si>
    <t xml:space="preserve">Count_Above_Whisker</t>
  </si>
  <si>
    <t xml:space="preserve">Pct_Above_Whisker</t>
  </si>
  <si>
    <t xml:space="preserve">Max_Value</t>
  </si>
  <si>
    <t xml:space="preserve">AMT_INCOME_TOTAL</t>
  </si>
  <si>
    <t xml:space="preserve">AMT_CREDIT</t>
  </si>
  <si>
    <t xml:space="preserve">AMT_ANNUITY</t>
  </si>
  <si>
    <t xml:space="preserve">AMT_GOODS_PRICE</t>
  </si>
  <si>
    <t xml:space="preserve">CNT_CHILDREN</t>
  </si>
  <si>
    <t xml:space="preserve">YEARS_EMPLOYED</t>
  </si>
  <si>
    <t xml:space="preserve">Note: AMT_INCOME_TOTAL has an extreme max (117M vs median 147K) — a small number of very high earners. CNT_CHILDREN max of 19 is implausible for most records and worth a manual data-integrity check. These outliers were retained (not removed) as they may reflect real high-net-worth applicants, but should be capped or reviewed before use in a scoring model.</t>
  </si>
  <si>
    <t xml:space="preserve">TARGET Class Imbalance</t>
  </si>
  <si>
    <t xml:space="preserve">0 = repaid on time | 1 = payment difficulty</t>
  </si>
  <si>
    <t xml:space="preserve">TARGET</t>
  </si>
  <si>
    <t xml:space="preserve">Count</t>
  </si>
  <si>
    <t xml:space="preserve">Pct_of_Total</t>
  </si>
  <si>
    <t xml:space="preserve">0 - No difficulty</t>
  </si>
  <si>
    <t xml:space="preserve">1 - Payment difficulty</t>
  </si>
  <si>
    <t xml:space="preserve">Implication: with ~12:1 imbalance, a naive model predicting 'no difficulty' for every applicant would already be 91.9% accurate — accuracy alone is a misleading metric here. Business rules and models must be evaluated on recall/precision for the minority (defaulter) class, not overall accuracy.</t>
  </si>
  <si>
    <t xml:space="preserve">Key Numeric Variables — Median by TARGET</t>
  </si>
  <si>
    <t xml:space="preserve">Segmented univariate comparison</t>
  </si>
  <si>
    <t xml:space="preserve">Target_0_Median</t>
  </si>
  <si>
    <t xml:space="preserve">Target_1_Median</t>
  </si>
  <si>
    <t xml:space="preserve">Pct_Difference</t>
  </si>
  <si>
    <t xml:space="preserve">CREDIT_INCOME_RATIO</t>
  </si>
  <si>
    <t xml:space="preserve">ANNUITY_INCOME_RATIO</t>
  </si>
  <si>
    <t xml:space="preserve">YEARS_BIRTH</t>
  </si>
  <si>
    <t xml:space="preserve">REGION_RATING_CLIENT</t>
  </si>
  <si>
    <t xml:space="preserve">EXT_SOURCE_2</t>
  </si>
  <si>
    <t xml:space="preserve">EXT_SOURCE_3</t>
  </si>
  <si>
    <t xml:space="preserve">Default rate (%) by income bucket</t>
  </si>
  <si>
    <t xml:space="preserve">Income_Bucket</t>
  </si>
  <si>
    <t xml:space="preserve">Default_Rate_Pct</t>
  </si>
  <si>
    <t xml:space="preserve">Applicant_Count</t>
  </si>
  <si>
    <t xml:space="preserve">&lt;100K</t>
  </si>
  <si>
    <t xml:space="preserve">100-150K</t>
  </si>
  <si>
    <t xml:space="preserve">150-200K</t>
  </si>
  <si>
    <t xml:space="preserve">200-300K</t>
  </si>
  <si>
    <t xml:space="preserve">300K+</t>
  </si>
  <si>
    <t xml:space="preserve">Default rate (%) by age bucket</t>
  </si>
  <si>
    <t xml:space="preserve">Age_Bucket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</si>
  <si>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</si>
  <si>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</si>
  <si>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</si>
  <si>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</si>
  <si>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</si>
  <si>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Default Rate (%) by Categorical Segment</t>
  </si>
  <si>
    <t xml:space="preserve">Categories with fewer than 200 applicants excluded for statistical reliability</t>
  </si>
  <si>
    <t xml:space="preserve">Gender</t>
  </si>
  <si>
    <t xml:space="preserve">Category</t>
  </si>
  <si>
    <t xml:space="preserve">M</t>
  </si>
  <si>
    <t xml:space="preserve">F</t>
  </si>
  <si>
    <t xml:space="preserve">Contract Type</t>
  </si>
  <si>
    <t xml:space="preserve">Cash loans</t>
  </si>
  <si>
    <t xml:space="preserve">Revolving loans</t>
  </si>
  <si>
    <t xml:space="preserve">Income Type</t>
  </si>
  <si>
    <t xml:space="preserve">Working</t>
  </si>
  <si>
    <t xml:space="preserve">Commercial associate</t>
  </si>
  <si>
    <t xml:space="preserve">State servant</t>
  </si>
  <si>
    <t xml:space="preserve">Pensioner</t>
  </si>
  <si>
    <t xml:space="preserve">Education</t>
  </si>
  <si>
    <t xml:space="preserve">Lower secondary</t>
  </si>
  <si>
    <t xml:space="preserve">Secondary/secondary special</t>
  </si>
  <si>
    <t xml:space="preserve">Incomplete higher</t>
  </si>
  <si>
    <t xml:space="preserve">Higher education</t>
  </si>
  <si>
    <t xml:space="preserve">Family Status</t>
  </si>
  <si>
    <t xml:space="preserve">Civil marriage</t>
  </si>
  <si>
    <t xml:space="preserve">Single/not married</t>
  </si>
  <si>
    <t xml:space="preserve">Separated</t>
  </si>
  <si>
    <t xml:space="preserve">Married</t>
  </si>
  <si>
    <t xml:space="preserve">Widow</t>
  </si>
  <si>
    <t xml:space="preserve">Housing Type</t>
  </si>
  <si>
    <t xml:space="preserve">Rented apartment</t>
  </si>
  <si>
    <t xml:space="preserve">With parents</t>
  </si>
  <si>
    <t xml:space="preserve">Municipal apartment</t>
  </si>
  <si>
    <t xml:space="preserve">Co-op apartment</t>
  </si>
  <si>
    <t xml:space="preserve">House/apartment</t>
  </si>
  <si>
    <t xml:space="preserve">Office apartment</t>
  </si>
  <si>
    <t xml:space="preserve">Occupation (top 8 riskiest)</t>
  </si>
  <si>
    <t xml:space="preserve">Low-skill Laborers</t>
  </si>
  <si>
    <t xml:space="preserve">Drivers</t>
  </si>
  <si>
    <t xml:space="preserve">Waiters/barmen staff</t>
  </si>
  <si>
    <t xml:space="preserve">Security staff</t>
  </si>
  <si>
    <t xml:space="preserve">Laborers</t>
  </si>
  <si>
    <t xml:space="preserve">Cooking staff</t>
  </si>
  <si>
    <t xml:space="preserve">Sales staff</t>
  </si>
  <si>
    <t xml:space="preserve">Cleaning staff</t>
  </si>
  <si>
    <t xml:space="preserve">Own Car</t>
  </si>
  <si>
    <t xml:space="preserve">N</t>
  </si>
  <si>
    <t xml:space="preserve">Y</t>
  </si>
  <si>
    <t xml:space="preserve">Own Realty</t>
  </si>
  <si>
    <t xml:space="preserve">Correlation Matrix by TARGET Segment</t>
  </si>
  <si>
    <t xml:space="preserve">Numeric variables, computed separately for repayers (0) and defaulters (1)</t>
  </si>
  <si>
    <t xml:space="preserve">Correlation matrix — TARGET = 0 (repaid on time)</t>
  </si>
  <si>
    <t xml:space="preserve">CNT_FAM_MEMBERS</t>
  </si>
  <si>
    <t xml:space="preserve">REGION_POPULATION_RELATIVE</t>
  </si>
  <si>
    <t xml:space="preserve">OBS_30_CNT_SOCIAL_CIRCLE</t>
  </si>
  <si>
    <t xml:space="preserve">DEF_30_CNT_SOCIAL_CIRCLE</t>
  </si>
  <si>
    <t xml:space="preserve">Correlation matrix — TARGET = 1 (payment difficulty)</t>
  </si>
  <si>
    <t xml:space="preserve">Largest shifts in correlation between segments (top 10)</t>
  </si>
  <si>
    <t xml:space="preserve">Variable Pair</t>
  </si>
  <si>
    <t xml:space="preserve">Abs_Difference</t>
  </si>
  <si>
    <t xml:space="preserve">Corr_Target0</t>
  </si>
  <si>
    <t xml:space="preserve">Corr_Target1</t>
  </si>
  <si>
    <t xml:space="preserve">AMT_INCOME_TOTAL vs AMT_ANNUITY</t>
  </si>
  <si>
    <t xml:space="preserve">AMT_INCOME_TOTAL vs AMT_GOODS_PRICE</t>
  </si>
  <si>
    <t xml:space="preserve">AMT_INCOME_TOTAL vs AMT_CREDIT</t>
  </si>
  <si>
    <t xml:space="preserve">AMT_INCOME_TOTAL vs ANNUITY_INCOME_RATIO</t>
  </si>
  <si>
    <t xml:space="preserve">AMT_INCOME_TOTAL vs CREDIT_INCOME_RATIO</t>
  </si>
  <si>
    <t xml:space="preserve">AMT_INCOME_TOTAL vs REGION_RATING_CLIENT</t>
  </si>
  <si>
    <t xml:space="preserve">AMT_INCOME_TOTAL vs REGION_POPULATION_RELATIVE</t>
  </si>
  <si>
    <t xml:space="preserve">AMT_INCOME_TOTAL vs EXT_SOURCE_2</t>
  </si>
  <si>
    <t xml:space="preserve">REGION_RATING_CLIENT vs REGION_POPULATION_RELATIVE</t>
  </si>
  <si>
    <t xml:space="preserve">AMT_GOODS_PRICE vs YEARS_BIRTH</t>
  </si>
  <si>
    <t xml:space="preserve">Highlighted cells: |correlation| &gt;= 0.5. Key finding: AMT_INCOME_TOTAL's correlation with AMT_ANNUITY/AMT_CREDIT/AMT_GOODS_PRICE is much weaker among defaulters (~0.04-0.05) than repayers (~0.35-0.42) — among defaulters, loan sizing is less anchored to actual income, a useful underwriting red flag.</t>
  </si>
  <si>
    <t xml:space="preserve">Prior Loan History vs Current Default Risk</t>
  </si>
  <si>
    <t xml:space="preserve">previous_application.csv (1,670,214 records) merged to application_data.csv on SK_ID_CURR</t>
  </si>
  <si>
    <t xml:space="preserve">Distribution of previous application decisions (all prior applications, all clients)</t>
  </si>
  <si>
    <t xml:space="preserve">Decision</t>
  </si>
  <si>
    <t xml:space="preserve">Pct_of_Prior_Apps</t>
  </si>
  <si>
    <t xml:space="preserve">Approved</t>
  </si>
  <si>
    <t xml:space="preserve">Canceled</t>
  </si>
  <si>
    <t xml:space="preserve">Refused</t>
  </si>
  <si>
    <t xml:space="preserve">Unused offer</t>
  </si>
  <si>
    <t xml:space="preserve">Current default rate by prior refusal / cancellation history</t>
  </si>
  <si>
    <t xml:space="preserve">Client_History</t>
  </si>
  <si>
    <t xml:space="preserve">Current_Default_Rate_Pct</t>
  </si>
  <si>
    <t xml:space="preserve">No prior refusal</t>
  </si>
  <si>
    <t xml:space="preserve">Had &gt;=1 prior refusal</t>
  </si>
  <si>
    <t xml:space="preserve">No prior cancellation</t>
  </si>
  <si>
    <t xml:space="preserve">Had &gt;=1 prior cancellation</t>
  </si>
  <si>
    <t xml:space="preserve">Current default rate by NUMBER of prior refusals (dose-response relationship)</t>
  </si>
  <si>
    <t xml:space="preserve">Num_Prior_Refusals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</si>
  <si>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</si>
  <si>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</si>
  <si>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</si>
  <si>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</si>
  <si>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</si>
  <si>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5+</t>
  </si>
  <si>
    <t xml:space="preserve">Key finding: this is a clean, near-monotonic dose-response relationship — each additional prior refusal from this lender raises the current default rate, from 6.98% (zero refusals) to 14.09% (5+ refusals), roughly a 2x increase. This is one of the strongest and most actionable signals in the dataset: repeated refusal history should escalate underwriting scrutiny or pricing regardless of the current application's other attributes.</t>
  </si>
  <si>
    <t xml:space="preserve">Business Recommendations</t>
  </si>
  <si>
    <t xml:space="preserve">Translating EDA findings into underwriting actions</t>
  </si>
  <si>
    <t xml:space="preserve">1. Prioritize external bureau scores</t>
  </si>
  <si>
    <t xml:space="preserve">EXT_SOURCE_2 and EXT_SOURCE_3 show the clearest separation between segments (median 0.57/0.55 for repayers vs 0.44/0.38 for defaulters). These should carry high weight in any scoring model or manual review checklist.</t>
  </si>
  <si>
    <t xml:space="preserve">2. Use prior refusal count as an escalation trigger</t>
  </si>
  <si>
    <t xml:space="preserve">Default rate rises from 6.98% (0 refusals) to 14.09% (5+ refusals) in a near-monotonic dose-response pattern. Recommend: 0 refusals = standard process; 1-2 = standard with note; 3+ = manual review or risk-based pricing.</t>
  </si>
  <si>
    <t xml:space="preserve">3. Weight applicant age and employment tenure</t>
  </si>
  <si>
    <t xml:space="preserve">Default rate falls from 11.4% (20-30 yrs) to 4.9% (60-70 yrs), and shorter YEARS_EMPLOYED correlates with higher default. Younger applicants with short tenure are not automatically declined but warrant additional income verification.</t>
  </si>
  <si>
    <t xml:space="preserve">4. Flag high-risk occupation/income-type combinations</t>
  </si>
  <si>
    <t xml:space="preserve">Low-skill Laborers (17.2%), Drivers (11.3%), and 'Working' income type (9.6%) default well above Pensioners (5.4%) or State servants (5.8%). Consider differentiated pricing or added conditions (co-signer, smaller loan-to-income ratio) for these segments rather than blanket rejection.</t>
  </si>
  <si>
    <t xml:space="preserve">5. Do not rely on credit-to-income ratio alone</t>
  </si>
  <si>
    <t xml:space="preserve">Median CREDIT_INCOME_RATIO is nearly identical between defaulters (3.25) and repayers (3.27) — it is a weak standalone signal. Pair it with EXT_SOURCE scores and history rather than using it as a primary cutoff.</t>
  </si>
  <si>
    <t xml:space="preserve">6. Treat housing situation as a moderate signal</t>
  </si>
  <si>
    <t xml:space="preserve">Renters and applicants living with parents default at 12.3% / 11.7% vs 7.8% for homeowners. Useful as a minor scoring factor, not a disqualifier on its own.</t>
  </si>
  <si>
    <t xml:space="preserve">7. Recheck data quality before deploying a model</t>
  </si>
  <si>
    <t xml:space="preserve">CNT_CHILDREN has implausible values (max 19) and AMT_INCOME_TOTAL has extreme outliers (max ~117M vs median ~147K) — cap or winsorize these before feeding into any predictive model to avoid distorted coefficients.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</si>
</sst>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%"/>
    <numFmt numFmtId="166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TARGET Distribution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'Target Imbalance'!C4</c:f>
              <c:strCache>
                <c:ptCount val="1"/>
                <c:pt idx="0">
                  <c:v>Pct_of_Total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'Target Imbalance'!$A$5:$A$6</c:f>
              <c:strCache>
                <c:ptCount val="2"/>
                <c:pt idx="0">
                  <c:v>0 - No difficulty</c:v>
                </c:pt>
                <c:pt idx="1">
                  <c:v>1 - Payment difficulty</c:v>
                </c:pt>
              </c:strCache>
            </c:strRef>
          </c:cat>
          <c:val>
            <c:numRef>
              <c:f>'Target Imbalance'!$C$5:$C$6</c:f>
              <c:numCache>
                <c:formatCode>0.00\%</c:formatCode>
                <c:ptCount val="2"/>
                <c:pt idx="0">
                  <c:v>91.93</c:v>
                </c:pt>
                <c:pt idx="1">
                  <c:v>8.07</c:v>
                </c:pt>
              </c:numCache>
            </c:numRef>
          </c:val>
        </c:ser>
        <c:gapWidth val="150"/>
        <c:overlap val="0"/>
        <c:axId val="27691545"/>
        <c:axId val="54540126"/>
      </c:barChart>
      <c:catAx>
        <c:axId val="276915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40126"/>
        <c:crosses val="autoZero"/>
        <c:auto val="1"/>
        <c:lblAlgn val="ctr"/>
        <c:lblOffset val="100"/>
        <c:noMultiLvlLbl val="0"/>
      </c:catAx>
      <c:valAx>
        <c:axId val="545401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applicants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915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Income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'Numeric Vars by Target'!B20</c:f>
              <c:strCache>
                <c:ptCount val="1"/>
                <c:pt idx="0">
                  <c:v>Default_Rate_Pct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'Numeric Vars by Target'!$A$21:$A$25</c:f>
              <c:strCache>
                <c:ptCount val="5"/>
                <c:pt idx="0">
                  <c:v>&lt;100K</c:v>
                </c:pt>
                <c:pt idx="1">
                  <c:v>100-150K</c:v>
                </c:pt>
                <c:pt idx="2">
                  <c:v>150-200K</c:v>
                </c:pt>
                <c:pt idx="3">
                  <c:v>200-300K</c:v>
                </c:pt>
                <c:pt idx="4">
                  <c:v>300K+</c:v>
                </c:pt>
              </c:strCache>
            </c:strRef>
          </c:cat>
          <c:val>
            <c:numRef>
              <c:f>'Numeric Vars by Target'!$B$21:$B$25</c:f>
              <c:numCache>
                <c:formatCode>0.00\%</c:formatCode>
                <c:ptCount val="5"/>
                <c:pt idx="0">
                  <c:v>8.2</c:v>
                </c:pt>
                <c:pt idx="1">
                  <c:v>8.62</c:v>
                </c:pt>
                <c:pt idx="2">
                  <c:v>8.45</c:v>
                </c:pt>
                <c:pt idx="3">
                  <c:v>7.55</c:v>
                </c:pt>
                <c:pt idx="4">
                  <c:v>5.95</c:v>
                </c:pt>
              </c:numCache>
            </c:numRef>
          </c:val>
        </c:ser>
        <c:gapWidth val="150"/>
        <c:overlap val="0"/>
        <c:axId val="96942360"/>
        <c:axId val="97667026"/>
      </c:barChart>
      <c:catAx>
        <c:axId val="96942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67026"/>
        <c:crosses val="autoZero"/>
        <c:auto val="1"/>
        <c:lblAlgn val="ctr"/>
        <c:lblOffset val="100"/>
        <c:noMultiLvlLbl val="0"/>
      </c:catAx>
      <c:valAx>
        <c:axId val="97667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423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Age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'Numeric Vars by Target'!B39</c:f>
              <c:strCache>
                <c:ptCount val="1"/>
                <c:pt idx="0">
                  <c:v>Default_Rate_Pct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'Numeric Vars by Target'!$A$40:$A$44</c:f>
              <c:strCache>
                <c:ptCount val="5"/>
                <c:pt idx="0">
                  <c:v>20-30</c:v>
                </c:pt>
                <c:pt idx="1">
                  <c:v>30-40</c:v>
                </c:pt>
                <c:pt idx="2">
                  <c:v>40-50</c:v>
                </c:pt>
                <c:pt idx="3">
                  <c:v>50-60</c:v>
                </c:pt>
                <c:pt idx="4">
                  <c:v>60-70</c:v>
                </c:pt>
              </c:strCache>
            </c:strRef>
          </c:cat>
          <c:val>
            <c:numRef>
              <c:f>'Numeric Vars by Target'!$B$40:$B$44</c:f>
              <c:numCache>
                <c:formatCode>0.00\%</c:formatCode>
                <c:ptCount val="5"/>
                <c:pt idx="0">
                  <c:v>11.43</c:v>
                </c:pt>
                <c:pt idx="1">
                  <c:v>9.59</c:v>
                </c:pt>
                <c:pt idx="2">
                  <c:v>7.63</c:v>
                </c:pt>
                <c:pt idx="3">
                  <c:v>6.12</c:v>
                </c:pt>
                <c:pt idx="4">
                  <c:v>4.93</c:v>
                </c:pt>
              </c:numCache>
            </c:numRef>
          </c:val>
        </c:ser>
        <c:gapWidth val="150"/>
        <c:overlap val="0"/>
        <c:axId val="72947242"/>
        <c:axId val="95928013"/>
      </c:barChart>
      <c:catAx>
        <c:axId val="729472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28013"/>
        <c:crosses val="autoZero"/>
        <c:auto val="1"/>
        <c:lblAlgn val="ctr"/>
        <c:lblOffset val="100"/>
        <c:noMultiLvlLbl val="0"/>
      </c:catAx>
      <c:valAx>
        <c:axId val="959280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472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'Categorical Vars by Target'!B5</c:f>
              <c:strCache>
                <c:ptCount val="1"/>
                <c:pt idx="0">
                  <c:v>Default_Rate_Pct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'Categorical Vars by Target'!$A$6:$A$7</c:f>
              <c:strCache>
                <c:ptCount val="2"/>
                <c:pt idx="0">
                  <c:v>M</c:v>
                </c:pt>
                <c:pt idx="1">
                  <c:v>F</c:v>
                </c:pt>
              </c:strCache>
            </c:strRef>
          </c:cat>
          <c:val>
            <c:numRef>
              <c:f>'Categorical Vars by Target'!$B$6:$B$7</c:f>
              <c:numCache>
                <c:formatCode>0.00\%</c:formatCode>
                <c:ptCount val="2"/>
                <c:pt idx="0">
                  <c:v>10.14</c:v>
                </c:pt>
                <c:pt idx="1">
                  <c:v>7</c:v>
                </c:pt>
              </c:numCache>
            </c:numRef>
          </c:val>
        </c:ser>
        <c:gapWidth val="150"/>
        <c:overlap val="0"/>
        <c:axId val="80119911"/>
        <c:axId val="13545732"/>
      </c:barChart>
      <c:catAx>
        <c:axId val="80119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45732"/>
        <c:crosses val="autoZero"/>
        <c:auto val="1"/>
        <c:lblAlgn val="ctr"/>
        <c:lblOffset val="100"/>
        <c:noMultiLvlLbl val="0"/>
      </c:catAx>
      <c:valAx>
        <c:axId val="135457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199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Contract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'Categorical Vars by Target'!B23</c:f>
              <c:strCache>
                <c:ptCount val="1"/>
                <c:pt idx="0">
                  <c:v>Default_Rate_Pct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'Categorical Vars by Target'!$A$24:$A$25</c:f>
              <c:strCache>
                <c:ptCount val="2"/>
                <c:pt idx="0">
                  <c:v>Cash loans</c:v>
                </c:pt>
                <c:pt idx="1">
                  <c:v>Revolving loans</c:v>
                </c:pt>
              </c:strCache>
            </c:strRef>
          </c:cat>
          <c:val>
            <c:numRef>
              <c:f>'Categorical Vars by Target'!$B$24:$B$25</c:f>
              <c:numCache>
                <c:formatCode>0.00\%</c:formatCode>
                <c:ptCount val="2"/>
                <c:pt idx="0">
                  <c:v>8.35</c:v>
                </c:pt>
                <c:pt idx="1">
                  <c:v>5.48</c:v>
                </c:pt>
              </c:numCache>
            </c:numRef>
          </c:val>
        </c:ser>
        <c:gapWidth val="150"/>
        <c:overlap val="0"/>
        <c:axId val="75999743"/>
        <c:axId val="5236824"/>
      </c:barChart>
      <c:catAx>
        <c:axId val="7599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6824"/>
        <c:crosses val="autoZero"/>
        <c:auto val="1"/>
        <c:lblAlgn val="ctr"/>
        <c:lblOffset val="100"/>
        <c:noMultiLvlLbl val="0"/>
      </c:catAx>
      <c:valAx>
        <c:axId val="5236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997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Income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'Categorical Vars by Target'!B41</c:f>
              <c:strCache>
                <c:ptCount val="1"/>
                <c:pt idx="0">
                  <c:v>Default_Rate_Pct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'Categorical Vars by Target'!$A$42:$A$45</c:f>
              <c:strCache>
                <c:ptCount val="4"/>
                <c:pt idx="0">
                  <c:v>Working</c:v>
                </c:pt>
                <c:pt idx="1">
                  <c:v>Commercial associate</c:v>
                </c:pt>
                <c:pt idx="2">
                  <c:v>State servant</c:v>
                </c:pt>
                <c:pt idx="3">
                  <c:v>Pensioner</c:v>
                </c:pt>
              </c:strCache>
            </c:strRef>
          </c:cat>
          <c:val>
            <c:numRef>
              <c:f>'Categorical Vars by Target'!$B$42:$B$45</c:f>
              <c:numCache>
                <c:formatCode>0.00\%</c:formatCode>
                <c:ptCount val="4"/>
                <c:pt idx="0">
                  <c:v>9.59</c:v>
                </c:pt>
                <c:pt idx="1">
                  <c:v>7.48</c:v>
                </c:pt>
                <c:pt idx="2">
                  <c:v>5.75</c:v>
                </c:pt>
                <c:pt idx="3">
                  <c:v>5.39</c:v>
                </c:pt>
              </c:numCache>
            </c:numRef>
          </c:val>
        </c:ser>
        <c:gapWidth val="150"/>
        <c:overlap val="0"/>
        <c:axId val="63059315"/>
        <c:axId val="19986980"/>
      </c:barChart>
      <c:catAx>
        <c:axId val="630593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86980"/>
        <c:crosses val="autoZero"/>
        <c:auto val="1"/>
        <c:lblAlgn val="ctr"/>
        <c:lblOffset val="100"/>
        <c:noMultiLvlLbl val="0"/>
      </c:catAx>
      <c:valAx>
        <c:axId val="199869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593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Education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'Categorical Vars by Target'!B59</c:f>
              <c:strCache>
                <c:ptCount val="1"/>
                <c:pt idx="0">
                  <c:v>Default_Rate_Pct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'Categorical Vars by Target'!$A$60:$A$63</c:f>
              <c:strCache>
                <c:ptCount val="4"/>
                <c:pt idx="0">
                  <c:v>Lower secondary</c:v>
                </c:pt>
                <c:pt idx="1">
                  <c:v>Secondary/secondary special</c:v>
                </c:pt>
                <c:pt idx="2">
                  <c:v>Incomplete higher</c:v>
                </c:pt>
                <c:pt idx="3">
                  <c:v>Higher education</c:v>
                </c:pt>
              </c:strCache>
            </c:strRef>
          </c:cat>
          <c:val>
            <c:numRef>
              <c:f>'Categorical Vars by Target'!$B$60:$B$63</c:f>
              <c:numCache>
                <c:formatCode>0.00\%</c:formatCode>
                <c:ptCount val="4"/>
                <c:pt idx="0">
                  <c:v>10.93</c:v>
                </c:pt>
                <c:pt idx="1">
                  <c:v>8.94</c:v>
                </c:pt>
                <c:pt idx="2">
                  <c:v>8.48</c:v>
                </c:pt>
                <c:pt idx="3">
                  <c:v>5.36</c:v>
                </c:pt>
              </c:numCache>
            </c:numRef>
          </c:val>
        </c:ser>
        <c:gapWidth val="150"/>
        <c:overlap val="0"/>
        <c:axId val="11726509"/>
        <c:axId val="93941327"/>
      </c:barChart>
      <c:catAx>
        <c:axId val="117265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41327"/>
        <c:crosses val="autoZero"/>
        <c:auto val="1"/>
        <c:lblAlgn val="ctr"/>
        <c:lblOffset val="100"/>
        <c:noMultiLvlLbl val="0"/>
      </c:catAx>
      <c:valAx>
        <c:axId val="939413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265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Family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'Categorical Vars by Target'!B77</c:f>
              <c:strCache>
                <c:ptCount val="1"/>
                <c:pt idx="0">
                  <c:v>Default_Rate_Pct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'Categorical Vars by Target'!$A$78:$A$82</c:f>
              <c:strCache>
                <c:ptCount val="5"/>
                <c:pt idx="0">
                  <c:v>Civil marriage</c:v>
                </c:pt>
                <c:pt idx="1">
                  <c:v>Single/not married</c:v>
                </c:pt>
                <c:pt idx="2">
                  <c:v>Separated</c:v>
                </c:pt>
                <c:pt idx="3">
                  <c:v>Married</c:v>
                </c:pt>
                <c:pt idx="4">
                  <c:v>Widow</c:v>
                </c:pt>
              </c:strCache>
            </c:strRef>
          </c:cat>
          <c:val>
            <c:numRef>
              <c:f>'Categorical Vars by Target'!$B$78:$B$82</c:f>
              <c:numCache>
                <c:formatCode>0.00\%</c:formatCode>
                <c:ptCount val="5"/>
                <c:pt idx="0">
                  <c:v>9.94</c:v>
                </c:pt>
                <c:pt idx="1">
                  <c:v>9.81</c:v>
                </c:pt>
                <c:pt idx="2">
                  <c:v>8.19</c:v>
                </c:pt>
                <c:pt idx="3">
                  <c:v>7.56</c:v>
                </c:pt>
                <c:pt idx="4">
                  <c:v>5.82</c:v>
                </c:pt>
              </c:numCache>
            </c:numRef>
          </c:val>
        </c:ser>
        <c:gapWidth val="150"/>
        <c:overlap val="0"/>
        <c:axId val="10771971"/>
        <c:axId val="58597887"/>
      </c:barChart>
      <c:catAx>
        <c:axId val="107719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97887"/>
        <c:crosses val="autoZero"/>
        <c:auto val="1"/>
        <c:lblAlgn val="ctr"/>
        <c:lblOffset val="100"/>
        <c:noMultiLvlLbl val="0"/>
      </c:catAx>
      <c:valAx>
        <c:axId val="585978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719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Housing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'Categorical Vars by Target'!B95</c:f>
              <c:strCache>
                <c:ptCount val="1"/>
                <c:pt idx="0">
                  <c:v>Default_Rate_Pct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'Categorical Vars by Target'!$A$96:$A$101</c:f>
              <c:strCache>
                <c:ptCount val="6"/>
                <c:pt idx="0">
                  <c:v>Rented apartment</c:v>
                </c:pt>
                <c:pt idx="1">
                  <c:v>With parents</c:v>
                </c:pt>
                <c:pt idx="2">
                  <c:v>Municipal apartment</c:v>
                </c:pt>
                <c:pt idx="3">
                  <c:v>Co-op apartment</c:v>
                </c:pt>
                <c:pt idx="4">
                  <c:v>House/apartment</c:v>
                </c:pt>
                <c:pt idx="5">
                  <c:v>Office apartment</c:v>
                </c:pt>
              </c:strCache>
            </c:strRef>
          </c:cat>
          <c:val>
            <c:numRef>
              <c:f>'Categorical Vars by Target'!$B$96:$B$101</c:f>
              <c:numCache>
                <c:formatCode>0.00\%</c:formatCode>
                <c:ptCount val="6"/>
                <c:pt idx="0">
                  <c:v>12.31</c:v>
                </c:pt>
                <c:pt idx="1">
                  <c:v>11.7</c:v>
                </c:pt>
                <c:pt idx="2">
                  <c:v>8.54</c:v>
                </c:pt>
                <c:pt idx="3">
                  <c:v>7.93</c:v>
                </c:pt>
                <c:pt idx="4">
                  <c:v>7.8</c:v>
                </c:pt>
                <c:pt idx="5">
                  <c:v>6.57</c:v>
                </c:pt>
              </c:numCache>
            </c:numRef>
          </c:val>
        </c:ser>
        <c:gapWidth val="150"/>
        <c:overlap val="0"/>
        <c:axId val="55759462"/>
        <c:axId val="57653136"/>
      </c:barChart>
      <c:catAx>
        <c:axId val="557594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53136"/>
        <c:crosses val="autoZero"/>
        <c:auto val="1"/>
        <c:lblAlgn val="ctr"/>
        <c:lblOffset val="100"/>
        <c:noMultiLvlLbl val="0"/>
      </c:catAx>
      <c:valAx>
        <c:axId val="576531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59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Occupation (top 8 riskiest)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'Categorical Vars by Target'!B113</c:f>
              <c:strCache>
                <c:ptCount val="1"/>
                <c:pt idx="0">
                  <c:v>Default_Rate_Pct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'Categorical Vars by Target'!$A$114:$A$121</c:f>
              <c:strCache>
                <c:ptCount val="8"/>
                <c:pt idx="0">
                  <c:v>Low-skill Laborers</c:v>
                </c:pt>
                <c:pt idx="1">
                  <c:v>Drivers</c:v>
                </c:pt>
                <c:pt idx="2">
                  <c:v>Waiters/barmen staff</c:v>
                </c:pt>
                <c:pt idx="3">
                  <c:v>Security staff</c:v>
                </c:pt>
                <c:pt idx="4">
                  <c:v>Laborers</c:v>
                </c:pt>
                <c:pt idx="5">
                  <c:v>Cooking staff</c:v>
                </c:pt>
                <c:pt idx="6">
                  <c:v>Sales staff</c:v>
                </c:pt>
                <c:pt idx="7">
                  <c:v>Cleaning staff</c:v>
                </c:pt>
              </c:strCache>
            </c:strRef>
          </c:cat>
          <c:val>
            <c:numRef>
              <c:f>'Categorical Vars by Target'!$B$114:$B$121</c:f>
              <c:numCache>
                <c:formatCode>0.00\%</c:formatCode>
                <c:ptCount val="8"/>
                <c:pt idx="0">
                  <c:v>17.15</c:v>
                </c:pt>
                <c:pt idx="1">
                  <c:v>11.33</c:v>
                </c:pt>
                <c:pt idx="2">
                  <c:v>11.28</c:v>
                </c:pt>
                <c:pt idx="3">
                  <c:v>10.74</c:v>
                </c:pt>
                <c:pt idx="4">
                  <c:v>10.58</c:v>
                </c:pt>
                <c:pt idx="5">
                  <c:v>10.44</c:v>
                </c:pt>
                <c:pt idx="6">
                  <c:v>9.63</c:v>
                </c:pt>
                <c:pt idx="7">
                  <c:v>9.61</c:v>
                </c:pt>
              </c:numCache>
            </c:numRef>
          </c:val>
        </c:ser>
        <c:gapWidth val="150"/>
        <c:overlap val="0"/>
        <c:axId val="69818302"/>
        <c:axId val="60071333"/>
      </c:barChart>
      <c:catAx>
        <c:axId val="698183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71333"/>
        <c:crosses val="autoZero"/>
        <c:auto val="1"/>
        <c:lblAlgn val="ctr"/>
        <c:lblOffset val="100"/>
        <c:noMultiLvlLbl val="0"/>
      </c:catAx>
      <c:valAx>
        <c:axId val="600713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183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Own Car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'Categorical Vars by Target'!B131</c:f>
              <c:strCache>
                <c:ptCount val="1"/>
                <c:pt idx="0">
                  <c:v>Default_Rate_Pct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'Categorical Vars by Target'!$A$132:$A$133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'Categorical Vars by Target'!$B$132:$B$133</c:f>
              <c:numCache>
                <c:formatCode>0.00\%</c:formatCode>
                <c:ptCount val="2"/>
                <c:pt idx="0">
                  <c:v>8.5</c:v>
                </c:pt>
                <c:pt idx="1">
                  <c:v>7.24</c:v>
                </c:pt>
              </c:numCache>
            </c:numRef>
          </c:val>
        </c:ser>
        <c:gapWidth val="150"/>
        <c:overlap val="0"/>
        <c:axId val="23962542"/>
        <c:axId val="6910613"/>
      </c:barChart>
      <c:catAx>
        <c:axId val="239625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0613"/>
        <c:crosses val="autoZero"/>
        <c:auto val="1"/>
        <c:lblAlgn val="ctr"/>
        <c:lblOffset val="100"/>
        <c:noMultiLvlLbl val="0"/>
      </c:catAx>
      <c:valAx>
        <c:axId val="69106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625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Own Realty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'Categorical Vars by Target'!B149</c:f>
              <c:strCache>
                <c:ptCount val="1"/>
                <c:pt idx="0">
                  <c:v>Default_Rate_Pct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'Categorical Vars by Target'!$A$150:$A$151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'Categorical Vars by Target'!$B$150:$B$151</c:f>
              <c:numCache>
                <c:formatCode>0.00\%</c:formatCode>
                <c:ptCount val="2"/>
                <c:pt idx="0">
                  <c:v>8.32</c:v>
                </c:pt>
                <c:pt idx="1">
                  <c:v>7.96</c:v>
                </c:pt>
              </c:numCache>
            </c:numRef>
          </c:val>
        </c:ser>
        <c:gapWidth val="150"/>
        <c:overlap val="0"/>
        <c:axId val="90403060"/>
        <c:axId val="42181638"/>
      </c:barChart>
      <c:catAx>
        <c:axId val="904030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81638"/>
        <c:crosses val="autoZero"/>
        <c:auto val="1"/>
        <c:lblAlgn val="ctr"/>
        <c:lblOffset val="100"/>
        <c:noMultiLvlLbl val="0"/>
      </c:catAx>
      <c:valAx>
        <c:axId val="421816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030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Prior Application Decision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'Previous Application Analysis'!C5</c:f>
              <c:strCache>
                <c:ptCount val="1"/>
                <c:pt idx="0">
                  <c:v>Pct_of_Prior_Apps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'Previous Application Analysis'!$A$6:$A$9</c:f>
              <c:strCache>
                <c:ptCount val="4"/>
                <c:pt idx="0">
                  <c:v>Approved</c:v>
                </c:pt>
                <c:pt idx="1">
                  <c:v>Canceled</c:v>
                </c:pt>
                <c:pt idx="2">
                  <c:v>Refused</c:v>
                </c:pt>
                <c:pt idx="3">
                  <c:v>Unused offer</c:v>
                </c:pt>
              </c:strCache>
            </c:strRef>
          </c:cat>
          <c:val>
            <c:numRef>
              <c:f>'Previous Application Analysis'!$C$6:$C$9</c:f>
              <c:numCache>
                <c:formatCode>0.00\%</c:formatCode>
                <c:ptCount val="4"/>
                <c:pt idx="0">
                  <c:v>62.07</c:v>
                </c:pt>
                <c:pt idx="1">
                  <c:v>18.94</c:v>
                </c:pt>
                <c:pt idx="2">
                  <c:v>17.4</c:v>
                </c:pt>
                <c:pt idx="3">
                  <c:v>1.58</c:v>
                </c:pt>
              </c:numCache>
            </c:numRef>
          </c:val>
        </c:ser>
        <c:gapWidth val="150"/>
        <c:overlap val="0"/>
        <c:axId val="38928153"/>
        <c:axId val="7218997"/>
      </c:barChart>
      <c:catAx>
        <c:axId val="389281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8997"/>
        <c:crosses val="autoZero"/>
        <c:auto val="1"/>
        <c:lblAlgn val="ctr"/>
        <c:lblOffset val="100"/>
        <c:noMultiLvlLbl val="0"/>
      </c:catAx>
      <c:valAx>
        <c:axId val="72189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prior applications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281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vs Number of Prior Refusals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'Previous Application Analysis'!B30</c:f>
              <c:strCache>
                <c:ptCount val="1"/>
                <c:pt idx="0">
                  <c:v>Current_Default_Rate_Pct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'Previous Application Analysis'!$A$31:$A$36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5+</c:v>
                </c:pt>
              </c:strCache>
            </c:strRef>
          </c:cat>
          <c:val>
            <c:numRef>
              <c:f>'Previous Application Analysis'!$B$31:$B$36</c:f>
              <c:numCache>
                <c:formatCode>0.00\%</c:formatCode>
                <c:ptCount val="6"/>
                <c:pt idx="0">
                  <c:v>6.98</c:v>
                </c:pt>
                <c:pt idx="1">
                  <c:v>8.83</c:v>
                </c:pt>
                <c:pt idx="2">
                  <c:v>10.24</c:v>
                </c:pt>
                <c:pt idx="3">
                  <c:v>11.43</c:v>
                </c:pt>
                <c:pt idx="4">
                  <c:v>12.02</c:v>
                </c:pt>
                <c:pt idx="5">
                  <c:v>14.09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455040"/>
        <c:axId val="53363751"/>
      </c:lineChart>
      <c:catAx>
        <c:axId val="794550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prior refusals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63751"/>
        <c:crosses val="autoZero"/>
        <c:auto val="1"/>
        <c:lblAlgn val="ctr"/>
        <c:lblOffset val="100"/>
        <c:noMultiLvlLbl val="0"/>
      </c:catAx>
      <c:valAx>
        <c:axId val="533637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550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Relationship Id="rId9" Type="http://schemas.openxmlformats.org/officeDocument/2006/relationships/chart" Target="../charts/chart1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12</xdr:col>
      <xdr:colOff>147600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575676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18</xdr:row>
      <xdr:rowOff>10080</xdr:rowOff>
    </xdr:from>
    <xdr:to>
      <xdr:col>12</xdr:col>
      <xdr:colOff>147600</xdr:colOff>
      <xdr:row>33</xdr:row>
      <xdr:rowOff>32400</xdr:rowOff>
    </xdr:to>
    <xdr:graphicFrame>
      <xdr:nvGraphicFramePr>
        <xdr:cNvPr id="1" name="Chart 1"/>
        <xdr:cNvGraphicFramePr/>
      </xdr:nvGraphicFramePr>
      <xdr:xfrm>
        <a:off x="660276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37</xdr:row>
      <xdr:rowOff>10080</xdr:rowOff>
    </xdr:from>
    <xdr:to>
      <xdr:col>12</xdr:col>
      <xdr:colOff>147600</xdr:colOff>
      <xdr:row>52</xdr:row>
      <xdr:rowOff>32040</xdr:rowOff>
    </xdr:to>
    <xdr:graphicFrame>
      <xdr:nvGraphicFramePr>
        <xdr:cNvPr id="2" name="Chart 2"/>
        <xdr:cNvGraphicFramePr/>
      </xdr:nvGraphicFramePr>
      <xdr:xfrm>
        <a:off x="6602760" y="7238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160920</xdr:rowOff>
    </xdr:from>
    <xdr:to>
      <xdr:col>11</xdr:col>
      <xdr:colOff>39240</xdr:colOff>
      <xdr:row>17</xdr:row>
      <xdr:rowOff>13320</xdr:rowOff>
    </xdr:to>
    <xdr:graphicFrame>
      <xdr:nvGraphicFramePr>
        <xdr:cNvPr id="3" name="Chart 1"/>
        <xdr:cNvGraphicFramePr/>
      </xdr:nvGraphicFramePr>
      <xdr:xfrm>
        <a:off x="6039000" y="7621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21</xdr:row>
      <xdr:rowOff>160920</xdr:rowOff>
    </xdr:from>
    <xdr:to>
      <xdr:col>11</xdr:col>
      <xdr:colOff>39240</xdr:colOff>
      <xdr:row>35</xdr:row>
      <xdr:rowOff>13320</xdr:rowOff>
    </xdr:to>
    <xdr:graphicFrame>
      <xdr:nvGraphicFramePr>
        <xdr:cNvPr id="4" name="Chart 2"/>
        <xdr:cNvGraphicFramePr/>
      </xdr:nvGraphicFramePr>
      <xdr:xfrm>
        <a:off x="6039000" y="41911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39</xdr:row>
      <xdr:rowOff>160920</xdr:rowOff>
    </xdr:from>
    <xdr:to>
      <xdr:col>11</xdr:col>
      <xdr:colOff>39240</xdr:colOff>
      <xdr:row>53</xdr:row>
      <xdr:rowOff>13320</xdr:rowOff>
    </xdr:to>
    <xdr:graphicFrame>
      <xdr:nvGraphicFramePr>
        <xdr:cNvPr id="5" name="Chart 3"/>
        <xdr:cNvGraphicFramePr/>
      </xdr:nvGraphicFramePr>
      <xdr:xfrm>
        <a:off x="6039000" y="76201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57</xdr:row>
      <xdr:rowOff>160920</xdr:rowOff>
    </xdr:from>
    <xdr:to>
      <xdr:col>11</xdr:col>
      <xdr:colOff>39240</xdr:colOff>
      <xdr:row>71</xdr:row>
      <xdr:rowOff>13320</xdr:rowOff>
    </xdr:to>
    <xdr:graphicFrame>
      <xdr:nvGraphicFramePr>
        <xdr:cNvPr id="6" name="Chart 4"/>
        <xdr:cNvGraphicFramePr/>
      </xdr:nvGraphicFramePr>
      <xdr:xfrm>
        <a:off x="6039000" y="110491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75</xdr:row>
      <xdr:rowOff>160920</xdr:rowOff>
    </xdr:from>
    <xdr:to>
      <xdr:col>11</xdr:col>
      <xdr:colOff>39240</xdr:colOff>
      <xdr:row>89</xdr:row>
      <xdr:rowOff>13320</xdr:rowOff>
    </xdr:to>
    <xdr:graphicFrame>
      <xdr:nvGraphicFramePr>
        <xdr:cNvPr id="7" name="Chart 5"/>
        <xdr:cNvGraphicFramePr/>
      </xdr:nvGraphicFramePr>
      <xdr:xfrm>
        <a:off x="6039000" y="144781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0</xdr:colOff>
      <xdr:row>93</xdr:row>
      <xdr:rowOff>160920</xdr:rowOff>
    </xdr:from>
    <xdr:to>
      <xdr:col>11</xdr:col>
      <xdr:colOff>39240</xdr:colOff>
      <xdr:row>107</xdr:row>
      <xdr:rowOff>13320</xdr:rowOff>
    </xdr:to>
    <xdr:graphicFrame>
      <xdr:nvGraphicFramePr>
        <xdr:cNvPr id="8" name="Chart 6"/>
        <xdr:cNvGraphicFramePr/>
      </xdr:nvGraphicFramePr>
      <xdr:xfrm>
        <a:off x="6039000" y="179071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4</xdr:col>
      <xdr:colOff>0</xdr:colOff>
      <xdr:row>111</xdr:row>
      <xdr:rowOff>160920</xdr:rowOff>
    </xdr:from>
    <xdr:to>
      <xdr:col>11</xdr:col>
      <xdr:colOff>39240</xdr:colOff>
      <xdr:row>125</xdr:row>
      <xdr:rowOff>13320</xdr:rowOff>
    </xdr:to>
    <xdr:graphicFrame>
      <xdr:nvGraphicFramePr>
        <xdr:cNvPr id="9" name="Chart 7"/>
        <xdr:cNvGraphicFramePr/>
      </xdr:nvGraphicFramePr>
      <xdr:xfrm>
        <a:off x="6039000" y="213361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</xdr:col>
      <xdr:colOff>0</xdr:colOff>
      <xdr:row>129</xdr:row>
      <xdr:rowOff>160920</xdr:rowOff>
    </xdr:from>
    <xdr:to>
      <xdr:col>11</xdr:col>
      <xdr:colOff>39240</xdr:colOff>
      <xdr:row>143</xdr:row>
      <xdr:rowOff>13320</xdr:rowOff>
    </xdr:to>
    <xdr:graphicFrame>
      <xdr:nvGraphicFramePr>
        <xdr:cNvPr id="10" name="Chart 8"/>
        <xdr:cNvGraphicFramePr/>
      </xdr:nvGraphicFramePr>
      <xdr:xfrm>
        <a:off x="6039000" y="247651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</xdr:col>
      <xdr:colOff>0</xdr:colOff>
      <xdr:row>147</xdr:row>
      <xdr:rowOff>160920</xdr:rowOff>
    </xdr:from>
    <xdr:to>
      <xdr:col>11</xdr:col>
      <xdr:colOff>39240</xdr:colOff>
      <xdr:row>161</xdr:row>
      <xdr:rowOff>13320</xdr:rowOff>
    </xdr:to>
    <xdr:graphicFrame>
      <xdr:nvGraphicFramePr>
        <xdr:cNvPr id="11" name="Chart 9"/>
        <xdr:cNvGraphicFramePr/>
      </xdr:nvGraphicFramePr>
      <xdr:xfrm>
        <a:off x="6039000" y="281941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160920</xdr:rowOff>
    </xdr:from>
    <xdr:to>
      <xdr:col>11</xdr:col>
      <xdr:colOff>398880</xdr:colOff>
      <xdr:row>17</xdr:row>
      <xdr:rowOff>13320</xdr:rowOff>
    </xdr:to>
    <xdr:graphicFrame>
      <xdr:nvGraphicFramePr>
        <xdr:cNvPr id="12" name="Chart 1"/>
        <xdr:cNvGraphicFramePr/>
      </xdr:nvGraphicFramePr>
      <xdr:xfrm>
        <a:off x="7095960" y="76212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28</xdr:row>
      <xdr:rowOff>160560</xdr:rowOff>
    </xdr:from>
    <xdr:to>
      <xdr:col>12</xdr:col>
      <xdr:colOff>147600</xdr:colOff>
      <xdr:row>43</xdr:row>
      <xdr:rowOff>182880</xdr:rowOff>
    </xdr:to>
    <xdr:graphicFrame>
      <xdr:nvGraphicFramePr>
        <xdr:cNvPr id="13" name="Chart 2"/>
        <xdr:cNvGraphicFramePr/>
      </xdr:nvGraphicFramePr>
      <xdr:xfrm>
        <a:off x="7095960" y="5524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</row>
    <row r="6" customFormat="false" ht="45" hidden="false" customHeight="true" outlineLevel="0" collapsed="false">
      <c r="A6" s="3" t="s">
        <v>4</v>
      </c>
      <c r="B6" s="4" t="s">
        <v>5</v>
      </c>
    </row>
    <row r="8" customFormat="false" ht="60" hidden="false" customHeight="true" outlineLevel="0" collapsed="false">
      <c r="A8" s="3" t="s">
        <v>6</v>
      </c>
      <c r="B8" s="4" t="s">
        <v>7</v>
      </c>
    </row>
    <row r="10" customFormat="false" ht="150" hidden="false" customHeight="true" outlineLevel="0" collapsed="false">
      <c r="A10" s="3" t="s">
        <v>8</v>
      </c>
      <c r="B10" s="4" t="s">
        <v>9</v>
      </c>
    </row>
    <row r="12" customFormat="false" ht="45" hidden="false" customHeight="true" outlineLevel="0" collapsed="false">
      <c r="A12" s="3" t="s">
        <v>10</v>
      </c>
      <c r="B12" s="4" t="s">
        <v>11</v>
      </c>
    </row>
    <row r="14" customFormat="false" ht="45" hidden="false" customHeight="true" outlineLevel="0" collapsed="false">
      <c r="A14" s="3" t="s">
        <v>12</v>
      </c>
      <c r="B14" s="4" t="s">
        <v>13</v>
      </c>
    </row>
    <row r="16" customFormat="false" ht="60" hidden="false" customHeight="true" outlineLevel="0" collapsed="false">
      <c r="A16" s="3" t="s">
        <v>14</v>
      </c>
      <c r="B16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1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5" t="s">
        <v>18</v>
      </c>
    </row>
    <row r="5" customFormat="false" ht="15" hidden="false" customHeight="false" outlineLevel="0" collapsed="false">
      <c r="A5" s="6" t="s">
        <v>19</v>
      </c>
      <c r="B5" s="6" t="s">
        <v>20</v>
      </c>
    </row>
    <row r="6" customFormat="false" ht="15" hidden="false" customHeight="false" outlineLevel="0" collapsed="false">
      <c r="A6" s="7" t="s">
        <v>21</v>
      </c>
      <c r="B6" s="8" t="n">
        <v>69.8722972511553</v>
      </c>
    </row>
    <row r="7" customFormat="false" ht="15" hidden="false" customHeight="false" outlineLevel="0" collapsed="false">
      <c r="A7" s="7" t="s">
        <v>22</v>
      </c>
      <c r="B7" s="8" t="n">
        <v>69.8722972511553</v>
      </c>
    </row>
    <row r="8" customFormat="false" ht="15" hidden="false" customHeight="false" outlineLevel="0" collapsed="false">
      <c r="A8" s="7" t="s">
        <v>23</v>
      </c>
      <c r="B8" s="8" t="n">
        <v>69.8722972511553</v>
      </c>
    </row>
    <row r="9" customFormat="false" ht="15" hidden="false" customHeight="false" outlineLevel="0" collapsed="false">
      <c r="A9" s="7" t="s">
        <v>24</v>
      </c>
      <c r="B9" s="8" t="n">
        <v>69.4329633736679</v>
      </c>
    </row>
    <row r="10" customFormat="false" ht="15" hidden="false" customHeight="false" outlineLevel="0" collapsed="false">
      <c r="A10" s="7" t="s">
        <v>25</v>
      </c>
      <c r="B10" s="8" t="n">
        <v>69.4329633736679</v>
      </c>
    </row>
    <row r="11" customFormat="false" ht="15" hidden="false" customHeight="false" outlineLevel="0" collapsed="false">
      <c r="A11" s="7" t="s">
        <v>26</v>
      </c>
      <c r="B11" s="8" t="n">
        <v>69.4329633736679</v>
      </c>
    </row>
    <row r="12" customFormat="false" ht="15" hidden="false" customHeight="false" outlineLevel="0" collapsed="false">
      <c r="A12" s="7" t="s">
        <v>27</v>
      </c>
      <c r="B12" s="8" t="n">
        <v>68.3861715515868</v>
      </c>
    </row>
    <row r="13" customFormat="false" ht="15" hidden="false" customHeight="false" outlineLevel="0" collapsed="false">
      <c r="A13" s="7" t="s">
        <v>28</v>
      </c>
      <c r="B13" s="8" t="n">
        <v>68.3549531561473</v>
      </c>
    </row>
    <row r="14" customFormat="false" ht="15" hidden="false" customHeight="false" outlineLevel="0" collapsed="false">
      <c r="A14" s="7" t="s">
        <v>29</v>
      </c>
      <c r="B14" s="8" t="n">
        <v>68.3549531561473</v>
      </c>
    </row>
    <row r="15" customFormat="false" ht="15" hidden="false" customHeight="false" outlineLevel="0" collapsed="false">
      <c r="A15" s="7" t="s">
        <v>30</v>
      </c>
      <c r="B15" s="8" t="n">
        <v>68.3549531561473</v>
      </c>
    </row>
    <row r="16" customFormat="false" ht="15" hidden="false" customHeight="false" outlineLevel="0" collapsed="false">
      <c r="A16" s="7" t="s">
        <v>31</v>
      </c>
      <c r="B16" s="8" t="n">
        <v>67.8486298051127</v>
      </c>
    </row>
    <row r="17" customFormat="false" ht="15" hidden="false" customHeight="false" outlineLevel="0" collapsed="false">
      <c r="A17" s="7" t="s">
        <v>32</v>
      </c>
      <c r="B17" s="8" t="n">
        <v>67.8486298051127</v>
      </c>
    </row>
    <row r="18" customFormat="false" ht="15" hidden="false" customHeight="false" outlineLevel="0" collapsed="false">
      <c r="A18" s="7" t="s">
        <v>33</v>
      </c>
      <c r="B18" s="8" t="n">
        <v>67.8486298051127</v>
      </c>
    </row>
    <row r="19" customFormat="false" ht="15" hidden="false" customHeight="false" outlineLevel="0" collapsed="false">
      <c r="A19" s="7" t="s">
        <v>34</v>
      </c>
      <c r="B19" s="8" t="n">
        <v>66.4977838191154</v>
      </c>
    </row>
    <row r="20" customFormat="false" ht="15" hidden="false" customHeight="false" outlineLevel="0" collapsed="false">
      <c r="A20" s="7" t="s">
        <v>35</v>
      </c>
      <c r="B20" s="8" t="n">
        <v>66.4977838191154</v>
      </c>
    </row>
    <row r="21" customFormat="false" ht="15" hidden="false" customHeight="false" outlineLevel="0" collapsed="false">
      <c r="A21" s="7" t="s">
        <v>36</v>
      </c>
      <c r="B21" s="8" t="n">
        <v>66.4977838191154</v>
      </c>
    </row>
    <row r="22" customFormat="false" ht="15" hidden="false" customHeight="false" outlineLevel="0" collapsed="false">
      <c r="A22" s="7" t="s">
        <v>37</v>
      </c>
      <c r="B22" s="8" t="n">
        <v>65.9908100848425</v>
      </c>
    </row>
    <row r="23" customFormat="false" ht="15" hidden="false" customHeight="false" outlineLevel="0" collapsed="false">
      <c r="A23" s="7" t="s">
        <v>38</v>
      </c>
      <c r="B23" s="8" t="n">
        <v>59.3767377427149</v>
      </c>
    </row>
    <row r="24" customFormat="false" ht="15" hidden="false" customHeight="false" outlineLevel="0" collapsed="false">
      <c r="A24" s="7" t="s">
        <v>39</v>
      </c>
      <c r="B24" s="8" t="n">
        <v>59.3767377427149</v>
      </c>
    </row>
    <row r="25" customFormat="false" ht="15" hidden="false" customHeight="false" outlineLevel="0" collapsed="false">
      <c r="A25" s="7" t="s">
        <v>40</v>
      </c>
      <c r="B25" s="8" t="n">
        <v>59.3767377427149</v>
      </c>
    </row>
    <row r="27" customFormat="false" ht="15" hidden="false" customHeight="false" outlineLevel="0" collapsed="false">
      <c r="A27" s="2" t="s">
        <v>41</v>
      </c>
    </row>
    <row r="29" customFormat="false" ht="15" hidden="false" customHeight="false" outlineLevel="0" collapsed="false">
      <c r="A29" s="5" t="s">
        <v>42</v>
      </c>
    </row>
    <row r="30" customFormat="false" ht="26.85" hidden="false" customHeight="false" outlineLevel="0" collapsed="false">
      <c r="A30" s="6" t="s">
        <v>43</v>
      </c>
      <c r="B30" s="6" t="s">
        <v>44</v>
      </c>
      <c r="C30" s="6" t="s">
        <v>45</v>
      </c>
      <c r="D30" s="6" t="s">
        <v>46</v>
      </c>
      <c r="E30" s="6" t="s">
        <v>47</v>
      </c>
      <c r="F30" s="6" t="s">
        <v>48</v>
      </c>
    </row>
    <row r="31" customFormat="false" ht="15" hidden="false" customHeight="false" outlineLevel="0" collapsed="false">
      <c r="A31" s="7" t="s">
        <v>49</v>
      </c>
      <c r="B31" s="9" t="n">
        <v>147150</v>
      </c>
      <c r="C31" s="9" t="n">
        <v>337500</v>
      </c>
      <c r="D31" s="9" t="n">
        <v>14035</v>
      </c>
      <c r="E31" s="8" t="n">
        <v>4.56</v>
      </c>
      <c r="F31" s="9" t="n">
        <v>117000000</v>
      </c>
    </row>
    <row r="32" customFormat="false" ht="15" hidden="false" customHeight="false" outlineLevel="0" collapsed="false">
      <c r="A32" s="7" t="s">
        <v>50</v>
      </c>
      <c r="B32" s="9" t="n">
        <v>513531</v>
      </c>
      <c r="C32" s="9" t="n">
        <v>1616625</v>
      </c>
      <c r="D32" s="9" t="n">
        <v>6562</v>
      </c>
      <c r="E32" s="8" t="n">
        <v>2.13</v>
      </c>
      <c r="F32" s="9" t="n">
        <v>4050000</v>
      </c>
    </row>
    <row r="33" customFormat="false" ht="15" hidden="false" customHeight="false" outlineLevel="0" collapsed="false">
      <c r="A33" s="7" t="s">
        <v>51</v>
      </c>
      <c r="B33" s="9" t="n">
        <v>24903</v>
      </c>
      <c r="C33" s="9" t="n">
        <v>61704</v>
      </c>
      <c r="D33" s="9" t="n">
        <v>7504</v>
      </c>
      <c r="E33" s="8" t="n">
        <v>2.44</v>
      </c>
      <c r="F33" s="9" t="n">
        <v>258025.5</v>
      </c>
    </row>
    <row r="34" customFormat="false" ht="15" hidden="false" customHeight="false" outlineLevel="0" collapsed="false">
      <c r="A34" s="7" t="s">
        <v>52</v>
      </c>
      <c r="B34" s="9" t="n">
        <v>450000</v>
      </c>
      <c r="C34" s="9" t="n">
        <v>1341000</v>
      </c>
      <c r="D34" s="9" t="n">
        <v>14728</v>
      </c>
      <c r="E34" s="8" t="n">
        <v>4.79</v>
      </c>
      <c r="F34" s="9" t="n">
        <v>4050000</v>
      </c>
    </row>
    <row r="35" customFormat="false" ht="15" hidden="false" customHeight="false" outlineLevel="0" collapsed="false">
      <c r="A35" s="7" t="s">
        <v>53</v>
      </c>
      <c r="B35" s="9" t="n">
        <v>0</v>
      </c>
      <c r="C35" s="9" t="n">
        <v>2</v>
      </c>
      <c r="D35" s="9" t="n">
        <v>4272</v>
      </c>
      <c r="E35" s="8" t="n">
        <v>1.39</v>
      </c>
      <c r="F35" s="9" t="n">
        <v>19</v>
      </c>
    </row>
    <row r="36" customFormat="false" ht="15" hidden="false" customHeight="false" outlineLevel="0" collapsed="false">
      <c r="A36" s="7" t="s">
        <v>54</v>
      </c>
      <c r="B36" s="9" t="n">
        <v>4.5</v>
      </c>
      <c r="C36" s="9" t="n">
        <v>19</v>
      </c>
      <c r="D36" s="9" t="n">
        <v>15223</v>
      </c>
      <c r="E36" s="8" t="n">
        <v>4.95</v>
      </c>
      <c r="F36" s="9" t="n">
        <v>49.1</v>
      </c>
    </row>
    <row r="38" customFormat="false" ht="30" hidden="false" customHeight="true" outlineLevel="0" collapsed="false">
      <c r="A38" s="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3"/>
    <col collapsed="false" customWidth="true" hidden="false" outlineLevel="0" max="3" min="3" style="0" width="15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6" t="s">
        <v>58</v>
      </c>
      <c r="B4" s="6" t="s">
        <v>59</v>
      </c>
      <c r="C4" s="6" t="s">
        <v>60</v>
      </c>
    </row>
    <row r="5" customFormat="false" ht="15" hidden="false" customHeight="false" outlineLevel="0" collapsed="false">
      <c r="A5" s="7" t="s">
        <v>61</v>
      </c>
      <c r="B5" s="9" t="n">
        <v>282686</v>
      </c>
      <c r="C5" s="8" t="n">
        <v>91.93</v>
      </c>
    </row>
    <row r="6" customFormat="false" ht="15" hidden="false" customHeight="false" outlineLevel="0" collapsed="false">
      <c r="A6" s="7" t="s">
        <v>62</v>
      </c>
      <c r="B6" s="9" t="n">
        <v>24825</v>
      </c>
      <c r="C6" s="8" t="n">
        <v>8.07</v>
      </c>
    </row>
    <row r="19" customFormat="false" ht="30" hidden="false" customHeight="true" outlineLevel="0" collapsed="false">
      <c r="A19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3" min="2" style="0" width="21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26.85" hidden="false" customHeight="false" outlineLevel="0" collapsed="false">
      <c r="A4" s="6" t="s">
        <v>43</v>
      </c>
      <c r="B4" s="6" t="s">
        <v>66</v>
      </c>
      <c r="C4" s="6" t="s">
        <v>67</v>
      </c>
      <c r="D4" s="6" t="s">
        <v>68</v>
      </c>
    </row>
    <row r="5" customFormat="false" ht="15" hidden="false" customHeight="false" outlineLevel="0" collapsed="false">
      <c r="A5" s="7" t="s">
        <v>49</v>
      </c>
      <c r="B5" s="9" t="n">
        <v>148500</v>
      </c>
      <c r="C5" s="9" t="n">
        <v>135000</v>
      </c>
      <c r="D5" s="8" t="n">
        <v>-9.1</v>
      </c>
    </row>
    <row r="6" customFormat="false" ht="15" hidden="false" customHeight="false" outlineLevel="0" collapsed="false">
      <c r="A6" s="7" t="s">
        <v>50</v>
      </c>
      <c r="B6" s="9" t="n">
        <v>517788</v>
      </c>
      <c r="C6" s="9" t="n">
        <v>497520</v>
      </c>
      <c r="D6" s="8" t="n">
        <v>-3.9</v>
      </c>
    </row>
    <row r="7" customFormat="false" ht="15" hidden="false" customHeight="false" outlineLevel="0" collapsed="false">
      <c r="A7" s="7" t="s">
        <v>51</v>
      </c>
      <c r="B7" s="9" t="n">
        <v>24876</v>
      </c>
      <c r="C7" s="9" t="n">
        <v>25263</v>
      </c>
      <c r="D7" s="8" t="n">
        <v>1.6</v>
      </c>
    </row>
    <row r="8" customFormat="false" ht="15" hidden="false" customHeight="false" outlineLevel="0" collapsed="false">
      <c r="A8" s="7" t="s">
        <v>52</v>
      </c>
      <c r="B8" s="9" t="n">
        <v>450000</v>
      </c>
      <c r="C8" s="9" t="n">
        <v>450000</v>
      </c>
      <c r="D8" s="8" t="n">
        <v>0</v>
      </c>
    </row>
    <row r="9" customFormat="false" ht="15" hidden="false" customHeight="false" outlineLevel="0" collapsed="false">
      <c r="A9" s="7" t="s">
        <v>69</v>
      </c>
      <c r="B9" s="9" t="n">
        <v>3.26665333333333</v>
      </c>
      <c r="C9" s="9" t="n">
        <v>3.25314285714286</v>
      </c>
      <c r="D9" s="8" t="n">
        <v>-0.4</v>
      </c>
    </row>
    <row r="10" customFormat="false" ht="15" hidden="false" customHeight="false" outlineLevel="0" collapsed="false">
      <c r="A10" s="7" t="s">
        <v>70</v>
      </c>
      <c r="B10" s="9" t="n">
        <v>0.16228</v>
      </c>
      <c r="C10" s="9" t="n">
        <v>0.169294117647059</v>
      </c>
      <c r="D10" s="8" t="n">
        <v>4.3</v>
      </c>
    </row>
    <row r="11" customFormat="false" ht="15" hidden="false" customHeight="false" outlineLevel="0" collapsed="false">
      <c r="A11" s="7" t="s">
        <v>53</v>
      </c>
      <c r="B11" s="9" t="n">
        <v>0</v>
      </c>
      <c r="C11" s="9" t="n">
        <v>0</v>
      </c>
      <c r="D11" s="8"/>
    </row>
    <row r="12" customFormat="false" ht="15" hidden="false" customHeight="false" outlineLevel="0" collapsed="false">
      <c r="A12" s="7" t="s">
        <v>71</v>
      </c>
      <c r="B12" s="9" t="n">
        <v>43.5</v>
      </c>
      <c r="C12" s="9" t="n">
        <v>39.1</v>
      </c>
      <c r="D12" s="8" t="n">
        <v>-10.1</v>
      </c>
    </row>
    <row r="13" customFormat="false" ht="15" hidden="false" customHeight="false" outlineLevel="0" collapsed="false">
      <c r="A13" s="7" t="s">
        <v>54</v>
      </c>
      <c r="B13" s="9" t="n">
        <v>4.6</v>
      </c>
      <c r="C13" s="9" t="n">
        <v>3.4</v>
      </c>
      <c r="D13" s="8" t="n">
        <v>-26.1</v>
      </c>
    </row>
    <row r="14" customFormat="false" ht="15" hidden="false" customHeight="false" outlineLevel="0" collapsed="false">
      <c r="A14" s="7" t="s">
        <v>72</v>
      </c>
      <c r="B14" s="9" t="n">
        <v>2</v>
      </c>
      <c r="C14" s="9" t="n">
        <v>2</v>
      </c>
      <c r="D14" s="8" t="n">
        <v>0</v>
      </c>
    </row>
    <row r="15" customFormat="false" ht="15" hidden="false" customHeight="false" outlineLevel="0" collapsed="false">
      <c r="A15" s="7" t="s">
        <v>73</v>
      </c>
      <c r="B15" s="9" t="n">
        <v>0.573904686902636</v>
      </c>
      <c r="C15" s="9" t="n">
        <v>0.440380630376384</v>
      </c>
      <c r="D15" s="8" t="n">
        <v>-23.3</v>
      </c>
    </row>
    <row r="16" customFormat="false" ht="15" hidden="false" customHeight="false" outlineLevel="0" collapsed="false">
      <c r="A16" s="7" t="s">
        <v>74</v>
      </c>
      <c r="B16" s="9" t="n">
        <v>0.546023197004961</v>
      </c>
      <c r="C16" s="9" t="n">
        <v>0.379100485399815</v>
      </c>
      <c r="D16" s="8" t="n">
        <v>-30.6</v>
      </c>
    </row>
    <row r="19" customFormat="false" ht="15" hidden="false" customHeight="false" outlineLevel="0" collapsed="false">
      <c r="A19" s="5" t="s">
        <v>75</v>
      </c>
    </row>
    <row r="20" customFormat="false" ht="15" hidden="false" customHeight="false" outlineLevel="0" collapsed="false">
      <c r="A20" s="6" t="s">
        <v>76</v>
      </c>
      <c r="B20" s="6" t="s">
        <v>77</v>
      </c>
      <c r="C20" s="6" t="s">
        <v>78</v>
      </c>
    </row>
    <row r="21" customFormat="false" ht="15" hidden="false" customHeight="false" outlineLevel="0" collapsed="false">
      <c r="A21" s="7" t="s">
        <v>79</v>
      </c>
      <c r="B21" s="8" t="n">
        <v>8.2</v>
      </c>
      <c r="C21" s="9" t="n">
        <v>63698</v>
      </c>
    </row>
    <row r="22" customFormat="false" ht="15" hidden="false" customHeight="false" outlineLevel="0" collapsed="false">
      <c r="A22" s="7" t="s">
        <v>80</v>
      </c>
      <c r="B22" s="8" t="n">
        <v>8.62</v>
      </c>
      <c r="C22" s="9" t="n">
        <v>91591</v>
      </c>
    </row>
    <row r="23" customFormat="false" ht="15" hidden="false" customHeight="false" outlineLevel="0" collapsed="false">
      <c r="A23" s="7" t="s">
        <v>81</v>
      </c>
      <c r="B23" s="8" t="n">
        <v>8.45</v>
      </c>
      <c r="C23" s="9" t="n">
        <v>64307</v>
      </c>
    </row>
    <row r="24" customFormat="false" ht="15" hidden="false" customHeight="false" outlineLevel="0" collapsed="false">
      <c r="A24" s="7" t="s">
        <v>82</v>
      </c>
      <c r="B24" s="8" t="n">
        <v>7.55</v>
      </c>
      <c r="C24" s="9" t="n">
        <v>65176</v>
      </c>
    </row>
    <row r="25" customFormat="false" ht="15" hidden="false" customHeight="false" outlineLevel="0" collapsed="false">
      <c r="A25" s="7" t="s">
        <v>83</v>
      </c>
      <c r="B25" s="8" t="n">
        <v>5.95</v>
      </c>
      <c r="C25" s="9" t="n">
        <v>22739</v>
      </c>
    </row>
    <row r="38" customFormat="false" ht="15" hidden="false" customHeight="false" outlineLevel="0" collapsed="false">
      <c r="A38" s="5" t="s">
        <v>84</v>
      </c>
    </row>
    <row r="39" customFormat="false" ht="15" hidden="false" customHeight="false" outlineLevel="0" collapsed="false">
      <c r="A39" s="6" t="s">
        <v>85</v>
      </c>
      <c r="B39" s="6" t="s">
        <v>77</v>
      </c>
      <c r="C39" s="6" t="s">
        <v>78</v>
      </c>
    </row>
    <row r="40" customFormat="false" ht="15" hidden="false" customHeight="false" outlineLevel="0" collapsed="false">
      <c r="A40" s="7" t="s">
        <v>86</v>
      </c>
      <c r="B40" s="8" t="n">
        <v>11.43</v>
      </c>
      <c r="C40" s="9" t="n">
        <v>45389</v>
      </c>
    </row>
    <row r="41" customFormat="false" ht="15" hidden="false" customHeight="false" outlineLevel="0" collapsed="false">
      <c r="A41" s="7" t="s">
        <v>87</v>
      </c>
      <c r="B41" s="8" t="n">
        <v>9.59</v>
      </c>
      <c r="C41" s="9" t="n">
        <v>82315</v>
      </c>
    </row>
    <row r="42" customFormat="false" ht="15" hidden="false" customHeight="false" outlineLevel="0" collapsed="false">
      <c r="A42" s="7" t="s">
        <v>88</v>
      </c>
      <c r="B42" s="8" t="n">
        <v>7.63</v>
      </c>
      <c r="C42" s="9" t="n">
        <v>76504</v>
      </c>
    </row>
    <row r="43" customFormat="false" ht="15" hidden="false" customHeight="false" outlineLevel="0" collapsed="false">
      <c r="A43" s="7" t="s">
        <v>89</v>
      </c>
      <c r="B43" s="8" t="n">
        <v>6.12</v>
      </c>
      <c r="C43" s="9" t="n">
        <v>68067</v>
      </c>
    </row>
    <row r="44" customFormat="false" ht="15" hidden="false" customHeight="false" outlineLevel="0" collapsed="false">
      <c r="A44" s="7" t="s">
        <v>90</v>
      </c>
      <c r="B44" s="8" t="n">
        <v>4.93</v>
      </c>
      <c r="C44" s="9" t="n">
        <v>35236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9"/>
    <col collapsed="false" customWidth="true" hidden="false" outlineLevel="0" max="3" min="3" style="0" width="13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5" t="s">
        <v>93</v>
      </c>
    </row>
    <row r="5" customFormat="false" ht="15" hidden="false" customHeight="false" outlineLevel="0" collapsed="false">
      <c r="A5" s="6" t="s">
        <v>94</v>
      </c>
      <c r="B5" s="6" t="s">
        <v>77</v>
      </c>
      <c r="C5" s="6" t="s">
        <v>59</v>
      </c>
    </row>
    <row r="6" customFormat="false" ht="15" hidden="false" customHeight="false" outlineLevel="0" collapsed="false">
      <c r="A6" s="7" t="s">
        <v>95</v>
      </c>
      <c r="B6" s="8" t="n">
        <v>10.14</v>
      </c>
      <c r="C6" s="9" t="n">
        <v>105059</v>
      </c>
    </row>
    <row r="7" customFormat="false" ht="15" hidden="false" customHeight="false" outlineLevel="0" collapsed="false">
      <c r="A7" s="7" t="s">
        <v>96</v>
      </c>
      <c r="B7" s="8" t="n">
        <v>7</v>
      </c>
      <c r="C7" s="9" t="n">
        <v>202448</v>
      </c>
    </row>
    <row r="22" customFormat="false" ht="15" hidden="false" customHeight="false" outlineLevel="0" collapsed="false">
      <c r="A22" s="5" t="s">
        <v>97</v>
      </c>
    </row>
    <row r="23" customFormat="false" ht="15" hidden="false" customHeight="false" outlineLevel="0" collapsed="false">
      <c r="A23" s="6" t="s">
        <v>94</v>
      </c>
      <c r="B23" s="6" t="s">
        <v>77</v>
      </c>
      <c r="C23" s="6" t="s">
        <v>59</v>
      </c>
    </row>
    <row r="24" customFormat="false" ht="15" hidden="false" customHeight="false" outlineLevel="0" collapsed="false">
      <c r="A24" s="7" t="s">
        <v>98</v>
      </c>
      <c r="B24" s="8" t="n">
        <v>8.35</v>
      </c>
      <c r="C24" s="9" t="n">
        <v>278232</v>
      </c>
    </row>
    <row r="25" customFormat="false" ht="15" hidden="false" customHeight="false" outlineLevel="0" collapsed="false">
      <c r="A25" s="7" t="s">
        <v>99</v>
      </c>
      <c r="B25" s="8" t="n">
        <v>5.48</v>
      </c>
      <c r="C25" s="9" t="n">
        <v>29279</v>
      </c>
    </row>
    <row r="40" customFormat="false" ht="15" hidden="false" customHeight="false" outlineLevel="0" collapsed="false">
      <c r="A40" s="5" t="s">
        <v>100</v>
      </c>
    </row>
    <row r="41" customFormat="false" ht="15" hidden="false" customHeight="false" outlineLevel="0" collapsed="false">
      <c r="A41" s="6" t="s">
        <v>94</v>
      </c>
      <c r="B41" s="6" t="s">
        <v>77</v>
      </c>
      <c r="C41" s="6" t="s">
        <v>59</v>
      </c>
    </row>
    <row r="42" customFormat="false" ht="15" hidden="false" customHeight="false" outlineLevel="0" collapsed="false">
      <c r="A42" s="7" t="s">
        <v>101</v>
      </c>
      <c r="B42" s="8" t="n">
        <v>9.59</v>
      </c>
      <c r="C42" s="9" t="n">
        <v>158774</v>
      </c>
    </row>
    <row r="43" customFormat="false" ht="15" hidden="false" customHeight="false" outlineLevel="0" collapsed="false">
      <c r="A43" s="7" t="s">
        <v>102</v>
      </c>
      <c r="B43" s="8" t="n">
        <v>7.48</v>
      </c>
      <c r="C43" s="9" t="n">
        <v>71617</v>
      </c>
    </row>
    <row r="44" customFormat="false" ht="15" hidden="false" customHeight="false" outlineLevel="0" collapsed="false">
      <c r="A44" s="7" t="s">
        <v>103</v>
      </c>
      <c r="B44" s="8" t="n">
        <v>5.75</v>
      </c>
      <c r="C44" s="9" t="n">
        <v>21703</v>
      </c>
    </row>
    <row r="45" customFormat="false" ht="15" hidden="false" customHeight="false" outlineLevel="0" collapsed="false">
      <c r="A45" s="7" t="s">
        <v>104</v>
      </c>
      <c r="B45" s="8" t="n">
        <v>5.39</v>
      </c>
      <c r="C45" s="9" t="n">
        <v>55362</v>
      </c>
    </row>
    <row r="58" customFormat="false" ht="15" hidden="false" customHeight="false" outlineLevel="0" collapsed="false">
      <c r="A58" s="5" t="s">
        <v>105</v>
      </c>
    </row>
    <row r="59" customFormat="false" ht="15" hidden="false" customHeight="false" outlineLevel="0" collapsed="false">
      <c r="A59" s="6" t="s">
        <v>94</v>
      </c>
      <c r="B59" s="6" t="s">
        <v>77</v>
      </c>
      <c r="C59" s="6" t="s">
        <v>59</v>
      </c>
    </row>
    <row r="60" customFormat="false" ht="15" hidden="false" customHeight="false" outlineLevel="0" collapsed="false">
      <c r="A60" s="7" t="s">
        <v>106</v>
      </c>
      <c r="B60" s="8" t="n">
        <v>10.93</v>
      </c>
      <c r="C60" s="9" t="n">
        <v>3816</v>
      </c>
    </row>
    <row r="61" customFormat="false" ht="15" hidden="false" customHeight="false" outlineLevel="0" collapsed="false">
      <c r="A61" s="7" t="s">
        <v>107</v>
      </c>
      <c r="B61" s="8" t="n">
        <v>8.94</v>
      </c>
      <c r="C61" s="9" t="n">
        <v>218391</v>
      </c>
    </row>
    <row r="62" customFormat="false" ht="15" hidden="false" customHeight="false" outlineLevel="0" collapsed="false">
      <c r="A62" s="7" t="s">
        <v>108</v>
      </c>
      <c r="B62" s="8" t="n">
        <v>8.48</v>
      </c>
      <c r="C62" s="9" t="n">
        <v>10277</v>
      </c>
    </row>
    <row r="63" customFormat="false" ht="15" hidden="false" customHeight="false" outlineLevel="0" collapsed="false">
      <c r="A63" s="7" t="s">
        <v>109</v>
      </c>
      <c r="B63" s="8" t="n">
        <v>5.36</v>
      </c>
      <c r="C63" s="9" t="n">
        <v>74863</v>
      </c>
    </row>
    <row r="76" customFormat="false" ht="15" hidden="false" customHeight="false" outlineLevel="0" collapsed="false">
      <c r="A76" s="5" t="s">
        <v>110</v>
      </c>
    </row>
    <row r="77" customFormat="false" ht="15" hidden="false" customHeight="false" outlineLevel="0" collapsed="false">
      <c r="A77" s="6" t="s">
        <v>94</v>
      </c>
      <c r="B77" s="6" t="s">
        <v>77</v>
      </c>
      <c r="C77" s="6" t="s">
        <v>59</v>
      </c>
    </row>
    <row r="78" customFormat="false" ht="15" hidden="false" customHeight="false" outlineLevel="0" collapsed="false">
      <c r="A78" s="7" t="s">
        <v>111</v>
      </c>
      <c r="B78" s="8" t="n">
        <v>9.94</v>
      </c>
      <c r="C78" s="9" t="n">
        <v>29775</v>
      </c>
    </row>
    <row r="79" customFormat="false" ht="15" hidden="false" customHeight="false" outlineLevel="0" collapsed="false">
      <c r="A79" s="7" t="s">
        <v>112</v>
      </c>
      <c r="B79" s="8" t="n">
        <v>9.81</v>
      </c>
      <c r="C79" s="9" t="n">
        <v>45444</v>
      </c>
    </row>
    <row r="80" customFormat="false" ht="15" hidden="false" customHeight="false" outlineLevel="0" collapsed="false">
      <c r="A80" s="7" t="s">
        <v>113</v>
      </c>
      <c r="B80" s="8" t="n">
        <v>8.19</v>
      </c>
      <c r="C80" s="9" t="n">
        <v>19770</v>
      </c>
    </row>
    <row r="81" customFormat="false" ht="15" hidden="false" customHeight="false" outlineLevel="0" collapsed="false">
      <c r="A81" s="7" t="s">
        <v>114</v>
      </c>
      <c r="B81" s="8" t="n">
        <v>7.56</v>
      </c>
      <c r="C81" s="9" t="n">
        <v>196432</v>
      </c>
    </row>
    <row r="82" customFormat="false" ht="15" hidden="false" customHeight="false" outlineLevel="0" collapsed="false">
      <c r="A82" s="7" t="s">
        <v>115</v>
      </c>
      <c r="B82" s="8" t="n">
        <v>5.82</v>
      </c>
      <c r="C82" s="9" t="n">
        <v>16088</v>
      </c>
    </row>
    <row r="94" customFormat="false" ht="15" hidden="false" customHeight="false" outlineLevel="0" collapsed="false">
      <c r="A94" s="5" t="s">
        <v>116</v>
      </c>
    </row>
    <row r="95" customFormat="false" ht="15" hidden="false" customHeight="false" outlineLevel="0" collapsed="false">
      <c r="A95" s="6" t="s">
        <v>94</v>
      </c>
      <c r="B95" s="6" t="s">
        <v>77</v>
      </c>
      <c r="C95" s="6" t="s">
        <v>59</v>
      </c>
    </row>
    <row r="96" customFormat="false" ht="15" hidden="false" customHeight="false" outlineLevel="0" collapsed="false">
      <c r="A96" s="7" t="s">
        <v>117</v>
      </c>
      <c r="B96" s="8" t="n">
        <v>12.31</v>
      </c>
      <c r="C96" s="9" t="n">
        <v>4881</v>
      </c>
    </row>
    <row r="97" customFormat="false" ht="15" hidden="false" customHeight="false" outlineLevel="0" collapsed="false">
      <c r="A97" s="7" t="s">
        <v>118</v>
      </c>
      <c r="B97" s="8" t="n">
        <v>11.7</v>
      </c>
      <c r="C97" s="9" t="n">
        <v>14840</v>
      </c>
    </row>
    <row r="98" customFormat="false" ht="15" hidden="false" customHeight="false" outlineLevel="0" collapsed="false">
      <c r="A98" s="7" t="s">
        <v>119</v>
      </c>
      <c r="B98" s="8" t="n">
        <v>8.54</v>
      </c>
      <c r="C98" s="9" t="n">
        <v>11183</v>
      </c>
    </row>
    <row r="99" customFormat="false" ht="15" hidden="false" customHeight="false" outlineLevel="0" collapsed="false">
      <c r="A99" s="7" t="s">
        <v>120</v>
      </c>
      <c r="B99" s="8" t="n">
        <v>7.93</v>
      </c>
      <c r="C99" s="9" t="n">
        <v>1122</v>
      </c>
    </row>
    <row r="100" customFormat="false" ht="15" hidden="false" customHeight="false" outlineLevel="0" collapsed="false">
      <c r="A100" s="7" t="s">
        <v>121</v>
      </c>
      <c r="B100" s="8" t="n">
        <v>7.8</v>
      </c>
      <c r="C100" s="9" t="n">
        <v>272868</v>
      </c>
    </row>
    <row r="101" customFormat="false" ht="15" hidden="false" customHeight="false" outlineLevel="0" collapsed="false">
      <c r="A101" s="7" t="s">
        <v>122</v>
      </c>
      <c r="B101" s="8" t="n">
        <v>6.57</v>
      </c>
      <c r="C101" s="9" t="n">
        <v>2617</v>
      </c>
    </row>
    <row r="112" customFormat="false" ht="15" hidden="false" customHeight="false" outlineLevel="0" collapsed="false">
      <c r="A112" s="5" t="s">
        <v>123</v>
      </c>
    </row>
    <row r="113" customFormat="false" ht="15" hidden="false" customHeight="false" outlineLevel="0" collapsed="false">
      <c r="A113" s="6" t="s">
        <v>94</v>
      </c>
      <c r="B113" s="6" t="s">
        <v>77</v>
      </c>
      <c r="C113" s="6" t="s">
        <v>59</v>
      </c>
    </row>
    <row r="114" customFormat="false" ht="15" hidden="false" customHeight="false" outlineLevel="0" collapsed="false">
      <c r="A114" s="7" t="s">
        <v>124</v>
      </c>
      <c r="B114" s="8" t="n">
        <v>17.15</v>
      </c>
      <c r="C114" s="9" t="n">
        <v>2093</v>
      </c>
    </row>
    <row r="115" customFormat="false" ht="15" hidden="false" customHeight="false" outlineLevel="0" collapsed="false">
      <c r="A115" s="7" t="s">
        <v>125</v>
      </c>
      <c r="B115" s="8" t="n">
        <v>11.33</v>
      </c>
      <c r="C115" s="9" t="n">
        <v>18603</v>
      </c>
    </row>
    <row r="116" customFormat="false" ht="15" hidden="false" customHeight="false" outlineLevel="0" collapsed="false">
      <c r="A116" s="7" t="s">
        <v>126</v>
      </c>
      <c r="B116" s="8" t="n">
        <v>11.28</v>
      </c>
      <c r="C116" s="9" t="n">
        <v>1348</v>
      </c>
    </row>
    <row r="117" customFormat="false" ht="15" hidden="false" customHeight="false" outlineLevel="0" collapsed="false">
      <c r="A117" s="7" t="s">
        <v>127</v>
      </c>
      <c r="B117" s="8" t="n">
        <v>10.74</v>
      </c>
      <c r="C117" s="9" t="n">
        <v>6721</v>
      </c>
    </row>
    <row r="118" customFormat="false" ht="15" hidden="false" customHeight="false" outlineLevel="0" collapsed="false">
      <c r="A118" s="7" t="s">
        <v>128</v>
      </c>
      <c r="B118" s="8" t="n">
        <v>10.58</v>
      </c>
      <c r="C118" s="9" t="n">
        <v>55186</v>
      </c>
    </row>
    <row r="119" customFormat="false" ht="15" hidden="false" customHeight="false" outlineLevel="0" collapsed="false">
      <c r="A119" s="7" t="s">
        <v>129</v>
      </c>
      <c r="B119" s="8" t="n">
        <v>10.44</v>
      </c>
      <c r="C119" s="9" t="n">
        <v>5946</v>
      </c>
    </row>
    <row r="120" customFormat="false" ht="15" hidden="false" customHeight="false" outlineLevel="0" collapsed="false">
      <c r="A120" s="7" t="s">
        <v>130</v>
      </c>
      <c r="B120" s="8" t="n">
        <v>9.63</v>
      </c>
      <c r="C120" s="9" t="n">
        <v>32102</v>
      </c>
    </row>
    <row r="121" customFormat="false" ht="15" hidden="false" customHeight="false" outlineLevel="0" collapsed="false">
      <c r="A121" s="7" t="s">
        <v>131</v>
      </c>
      <c r="B121" s="8" t="n">
        <v>9.61</v>
      </c>
      <c r="C121" s="9" t="n">
        <v>4653</v>
      </c>
    </row>
    <row r="130" customFormat="false" ht="15" hidden="false" customHeight="false" outlineLevel="0" collapsed="false">
      <c r="A130" s="5" t="s">
        <v>132</v>
      </c>
    </row>
    <row r="131" customFormat="false" ht="15" hidden="false" customHeight="false" outlineLevel="0" collapsed="false">
      <c r="A131" s="6" t="s">
        <v>94</v>
      </c>
      <c r="B131" s="6" t="s">
        <v>77</v>
      </c>
      <c r="C131" s="6" t="s">
        <v>59</v>
      </c>
    </row>
    <row r="132" customFormat="false" ht="15" hidden="false" customHeight="false" outlineLevel="0" collapsed="false">
      <c r="A132" s="7" t="s">
        <v>133</v>
      </c>
      <c r="B132" s="8" t="n">
        <v>8.5</v>
      </c>
      <c r="C132" s="9" t="n">
        <v>202924</v>
      </c>
    </row>
    <row r="133" customFormat="false" ht="15" hidden="false" customHeight="false" outlineLevel="0" collapsed="false">
      <c r="A133" s="7" t="s">
        <v>134</v>
      </c>
      <c r="B133" s="8" t="n">
        <v>7.24</v>
      </c>
      <c r="C133" s="9" t="n">
        <v>104587</v>
      </c>
    </row>
    <row r="148" customFormat="false" ht="15" hidden="false" customHeight="false" outlineLevel="0" collapsed="false">
      <c r="A148" s="5" t="s">
        <v>135</v>
      </c>
    </row>
    <row r="149" customFormat="false" ht="15" hidden="false" customHeight="false" outlineLevel="0" collapsed="false">
      <c r="A149" s="6" t="s">
        <v>94</v>
      </c>
      <c r="B149" s="6" t="s">
        <v>77</v>
      </c>
      <c r="C149" s="6" t="s">
        <v>59</v>
      </c>
    </row>
    <row r="150" customFormat="false" ht="15" hidden="false" customHeight="false" outlineLevel="0" collapsed="false">
      <c r="A150" s="7" t="s">
        <v>133</v>
      </c>
      <c r="B150" s="8" t="n">
        <v>8.32</v>
      </c>
      <c r="C150" s="9" t="n">
        <v>94199</v>
      </c>
    </row>
    <row r="151" customFormat="false" ht="15" hidden="false" customHeight="false" outlineLevel="0" collapsed="false">
      <c r="A151" s="7" t="s">
        <v>134</v>
      </c>
      <c r="B151" s="8" t="n">
        <v>7.96</v>
      </c>
      <c r="C151" s="9" t="n">
        <v>213312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5"/>
    <col collapsed="false" customWidth="true" hidden="false" outlineLevel="0" max="7" min="5" style="0" width="16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3" min="11" style="0" width="16"/>
    <col collapsed="false" customWidth="true" hidden="false" outlineLevel="0" max="15" min="14" style="0" width="15"/>
    <col collapsed="false" customWidth="true" hidden="false" outlineLevel="0" max="17" min="16" style="0" width="16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4" customFormat="false" ht="15" hidden="false" customHeight="false" outlineLevel="0" collapsed="false">
      <c r="A4" s="5" t="s">
        <v>138</v>
      </c>
    </row>
    <row r="5" customFormat="false" ht="39.55" hidden="false" customHeight="false" outlineLevel="0" collapsed="false">
      <c r="A5" s="6" t="s">
        <v>43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69</v>
      </c>
      <c r="G5" s="6" t="s">
        <v>70</v>
      </c>
      <c r="H5" s="6" t="s">
        <v>53</v>
      </c>
      <c r="I5" s="6" t="s">
        <v>139</v>
      </c>
      <c r="J5" s="6" t="s">
        <v>71</v>
      </c>
      <c r="K5" s="6" t="s">
        <v>54</v>
      </c>
      <c r="L5" s="6" t="s">
        <v>72</v>
      </c>
      <c r="M5" s="6" t="s">
        <v>140</v>
      </c>
      <c r="N5" s="6" t="s">
        <v>73</v>
      </c>
      <c r="O5" s="6" t="s">
        <v>74</v>
      </c>
      <c r="P5" s="6" t="s">
        <v>141</v>
      </c>
      <c r="Q5" s="6" t="s">
        <v>142</v>
      </c>
    </row>
    <row r="6" customFormat="false" ht="15" hidden="false" customHeight="false" outlineLevel="0" collapsed="false">
      <c r="A6" s="7" t="s">
        <v>49</v>
      </c>
      <c r="B6" s="9" t="n">
        <v>1</v>
      </c>
      <c r="C6" s="9" t="n">
        <v>0.34</v>
      </c>
      <c r="D6" s="9" t="n">
        <v>0.42</v>
      </c>
      <c r="E6" s="9" t="n">
        <v>0.35</v>
      </c>
      <c r="F6" s="9" t="n">
        <v>-0.23</v>
      </c>
      <c r="G6" s="9" t="n">
        <v>-0.32</v>
      </c>
      <c r="H6" s="9" t="n">
        <v>0.03</v>
      </c>
      <c r="I6" s="9" t="n">
        <v>0.03</v>
      </c>
      <c r="J6" s="9" t="n">
        <v>-0.06</v>
      </c>
      <c r="K6" s="9" t="n">
        <v>0.03</v>
      </c>
      <c r="L6" s="9" t="n">
        <v>-0.19</v>
      </c>
      <c r="M6" s="9" t="n">
        <v>0.17</v>
      </c>
      <c r="N6" s="9" t="n">
        <v>0.14</v>
      </c>
      <c r="O6" s="9" t="n">
        <v>-0.07</v>
      </c>
      <c r="P6" s="9" t="n">
        <v>-0.03</v>
      </c>
      <c r="Q6" s="9" t="n">
        <v>-0.03</v>
      </c>
    </row>
    <row r="7" customFormat="false" ht="15" hidden="false" customHeight="false" outlineLevel="0" collapsed="false">
      <c r="A7" s="7" t="s">
        <v>50</v>
      </c>
      <c r="B7" s="9" t="n">
        <v>0.34</v>
      </c>
      <c r="C7" s="9" t="n">
        <v>1</v>
      </c>
      <c r="D7" s="10" t="n">
        <v>0.77</v>
      </c>
      <c r="E7" s="10" t="n">
        <v>0.99</v>
      </c>
      <c r="F7" s="10" t="n">
        <v>0.65</v>
      </c>
      <c r="G7" s="9" t="n">
        <v>0.38</v>
      </c>
      <c r="H7" s="9" t="n">
        <v>0</v>
      </c>
      <c r="I7" s="9" t="n">
        <v>0.06</v>
      </c>
      <c r="J7" s="9" t="n">
        <v>0.05</v>
      </c>
      <c r="K7" s="9" t="n">
        <v>0.09</v>
      </c>
      <c r="L7" s="9" t="n">
        <v>-0.1</v>
      </c>
      <c r="M7" s="9" t="n">
        <v>0.1</v>
      </c>
      <c r="N7" s="9" t="n">
        <v>0.13</v>
      </c>
      <c r="O7" s="9" t="n">
        <v>0.04</v>
      </c>
      <c r="P7" s="9" t="n">
        <v>0</v>
      </c>
      <c r="Q7" s="9" t="n">
        <v>-0.02</v>
      </c>
    </row>
    <row r="8" customFormat="false" ht="15" hidden="false" customHeight="false" outlineLevel="0" collapsed="false">
      <c r="A8" s="7" t="s">
        <v>51</v>
      </c>
      <c r="B8" s="9" t="n">
        <v>0.42</v>
      </c>
      <c r="C8" s="10" t="n">
        <v>0.77</v>
      </c>
      <c r="D8" s="9" t="n">
        <v>1</v>
      </c>
      <c r="E8" s="10" t="n">
        <v>0.78</v>
      </c>
      <c r="F8" s="9" t="n">
        <v>0.39</v>
      </c>
      <c r="G8" s="9" t="n">
        <v>0.49</v>
      </c>
      <c r="H8" s="9" t="n">
        <v>0.02</v>
      </c>
      <c r="I8" s="9" t="n">
        <v>0.08</v>
      </c>
      <c r="J8" s="9" t="n">
        <v>-0.01</v>
      </c>
      <c r="K8" s="9" t="n">
        <v>0.05</v>
      </c>
      <c r="L8" s="9" t="n">
        <v>-0.13</v>
      </c>
      <c r="M8" s="9" t="n">
        <v>0.12</v>
      </c>
      <c r="N8" s="9" t="n">
        <v>0.13</v>
      </c>
      <c r="O8" s="9" t="n">
        <v>0.03</v>
      </c>
      <c r="P8" s="9" t="n">
        <v>-0.01</v>
      </c>
      <c r="Q8" s="9" t="n">
        <v>-0.02</v>
      </c>
    </row>
    <row r="9" customFormat="false" ht="15" hidden="false" customHeight="false" outlineLevel="0" collapsed="false">
      <c r="A9" s="7" t="s">
        <v>52</v>
      </c>
      <c r="B9" s="9" t="n">
        <v>0.35</v>
      </c>
      <c r="C9" s="10" t="n">
        <v>0.99</v>
      </c>
      <c r="D9" s="10" t="n">
        <v>0.78</v>
      </c>
      <c r="E9" s="9" t="n">
        <v>1</v>
      </c>
      <c r="F9" s="10" t="n">
        <v>0.63</v>
      </c>
      <c r="G9" s="9" t="n">
        <v>0.37</v>
      </c>
      <c r="H9" s="9" t="n">
        <v>0</v>
      </c>
      <c r="I9" s="9" t="n">
        <v>0.06</v>
      </c>
      <c r="J9" s="9" t="n">
        <v>0.04</v>
      </c>
      <c r="K9" s="9" t="n">
        <v>0.09</v>
      </c>
      <c r="L9" s="9" t="n">
        <v>-0.1</v>
      </c>
      <c r="M9" s="9" t="n">
        <v>0.1</v>
      </c>
      <c r="N9" s="9" t="n">
        <v>0.14</v>
      </c>
      <c r="O9" s="9" t="n">
        <v>0.04</v>
      </c>
      <c r="P9" s="9" t="n">
        <v>0</v>
      </c>
      <c r="Q9" s="9" t="n">
        <v>-0.02</v>
      </c>
    </row>
    <row r="10" customFormat="false" ht="15" hidden="false" customHeight="false" outlineLevel="0" collapsed="false">
      <c r="A10" s="7" t="s">
        <v>69</v>
      </c>
      <c r="B10" s="9" t="n">
        <v>-0.23</v>
      </c>
      <c r="C10" s="10" t="n">
        <v>0.65</v>
      </c>
      <c r="D10" s="9" t="n">
        <v>0.39</v>
      </c>
      <c r="E10" s="10" t="n">
        <v>0.63</v>
      </c>
      <c r="F10" s="9" t="n">
        <v>1</v>
      </c>
      <c r="G10" s="10" t="n">
        <v>0.79</v>
      </c>
      <c r="H10" s="9" t="n">
        <v>-0.02</v>
      </c>
      <c r="I10" s="9" t="n">
        <v>0.05</v>
      </c>
      <c r="J10" s="9" t="n">
        <v>0.12</v>
      </c>
      <c r="K10" s="9" t="n">
        <v>0.07</v>
      </c>
      <c r="L10" s="9" t="n">
        <v>0.06</v>
      </c>
      <c r="M10" s="9" t="n">
        <v>-0.03</v>
      </c>
      <c r="N10" s="9" t="n">
        <v>0</v>
      </c>
      <c r="O10" s="9" t="n">
        <v>0.09</v>
      </c>
      <c r="P10" s="9" t="n">
        <v>0.02</v>
      </c>
      <c r="Q10" s="9" t="n">
        <v>0.01</v>
      </c>
    </row>
    <row r="11" customFormat="false" ht="15" hidden="false" customHeight="false" outlineLevel="0" collapsed="false">
      <c r="A11" s="7" t="s">
        <v>70</v>
      </c>
      <c r="B11" s="9" t="n">
        <v>-0.32</v>
      </c>
      <c r="C11" s="9" t="n">
        <v>0.38</v>
      </c>
      <c r="D11" s="9" t="n">
        <v>0.49</v>
      </c>
      <c r="E11" s="9" t="n">
        <v>0.37</v>
      </c>
      <c r="F11" s="10" t="n">
        <v>0.79</v>
      </c>
      <c r="G11" s="9" t="n">
        <v>1</v>
      </c>
      <c r="H11" s="9" t="n">
        <v>-0.01</v>
      </c>
      <c r="I11" s="9" t="n">
        <v>0.05</v>
      </c>
      <c r="J11" s="9" t="n">
        <v>0.09</v>
      </c>
      <c r="K11" s="9" t="n">
        <v>0.03</v>
      </c>
      <c r="L11" s="9" t="n">
        <v>0.08</v>
      </c>
      <c r="M11" s="9" t="n">
        <v>-0.05</v>
      </c>
      <c r="N11" s="9" t="n">
        <v>-0.03</v>
      </c>
      <c r="O11" s="9" t="n">
        <v>0.11</v>
      </c>
      <c r="P11" s="9" t="n">
        <v>0.01</v>
      </c>
      <c r="Q11" s="9" t="n">
        <v>0.01</v>
      </c>
    </row>
    <row r="12" customFormat="false" ht="15" hidden="false" customHeight="false" outlineLevel="0" collapsed="false">
      <c r="A12" s="7" t="s">
        <v>53</v>
      </c>
      <c r="B12" s="9" t="n">
        <v>0.03</v>
      </c>
      <c r="C12" s="9" t="n">
        <v>0</v>
      </c>
      <c r="D12" s="9" t="n">
        <v>0.02</v>
      </c>
      <c r="E12" s="9" t="n">
        <v>0</v>
      </c>
      <c r="F12" s="9" t="n">
        <v>-0.02</v>
      </c>
      <c r="G12" s="9" t="n">
        <v>-0.01</v>
      </c>
      <c r="H12" s="9" t="n">
        <v>1</v>
      </c>
      <c r="I12" s="10" t="n">
        <v>0.88</v>
      </c>
      <c r="J12" s="9" t="n">
        <v>-0.34</v>
      </c>
      <c r="K12" s="9" t="n">
        <v>-0.06</v>
      </c>
      <c r="L12" s="9" t="n">
        <v>0.02</v>
      </c>
      <c r="M12" s="9" t="n">
        <v>-0.02</v>
      </c>
      <c r="N12" s="9" t="n">
        <v>-0.02</v>
      </c>
      <c r="O12" s="9" t="n">
        <v>-0.04</v>
      </c>
      <c r="P12" s="9" t="n">
        <v>0.01</v>
      </c>
      <c r="Q12" s="9" t="n">
        <v>0</v>
      </c>
    </row>
    <row r="13" customFormat="false" ht="15" hidden="false" customHeight="false" outlineLevel="0" collapsed="false">
      <c r="A13" s="7" t="s">
        <v>139</v>
      </c>
      <c r="B13" s="9" t="n">
        <v>0.03</v>
      </c>
      <c r="C13" s="9" t="n">
        <v>0.06</v>
      </c>
      <c r="D13" s="9" t="n">
        <v>0.08</v>
      </c>
      <c r="E13" s="9" t="n">
        <v>0.06</v>
      </c>
      <c r="F13" s="9" t="n">
        <v>0.05</v>
      </c>
      <c r="G13" s="9" t="n">
        <v>0.05</v>
      </c>
      <c r="H13" s="10" t="n">
        <v>0.88</v>
      </c>
      <c r="I13" s="9" t="n">
        <v>1</v>
      </c>
      <c r="J13" s="9" t="n">
        <v>-0.29</v>
      </c>
      <c r="K13" s="9" t="n">
        <v>-0.03</v>
      </c>
      <c r="L13" s="9" t="n">
        <v>0.03</v>
      </c>
      <c r="M13" s="9" t="n">
        <v>-0.02</v>
      </c>
      <c r="N13" s="9" t="n">
        <v>0</v>
      </c>
      <c r="O13" s="9" t="n">
        <v>-0.03</v>
      </c>
      <c r="P13" s="9" t="n">
        <v>0.02</v>
      </c>
      <c r="Q13" s="9" t="n">
        <v>0</v>
      </c>
    </row>
    <row r="14" customFormat="false" ht="15" hidden="false" customHeight="false" outlineLevel="0" collapsed="false">
      <c r="A14" s="7" t="s">
        <v>71</v>
      </c>
      <c r="B14" s="9" t="n">
        <v>-0.06</v>
      </c>
      <c r="C14" s="9" t="n">
        <v>0.05</v>
      </c>
      <c r="D14" s="9" t="n">
        <v>-0.01</v>
      </c>
      <c r="E14" s="9" t="n">
        <v>0.04</v>
      </c>
      <c r="F14" s="9" t="n">
        <v>0.12</v>
      </c>
      <c r="G14" s="9" t="n">
        <v>0.09</v>
      </c>
      <c r="H14" s="9" t="n">
        <v>-0.34</v>
      </c>
      <c r="I14" s="9" t="n">
        <v>-0.29</v>
      </c>
      <c r="J14" s="9" t="n">
        <v>1</v>
      </c>
      <c r="K14" s="9" t="n">
        <v>0.35</v>
      </c>
      <c r="L14" s="9" t="n">
        <v>0</v>
      </c>
      <c r="M14" s="9" t="n">
        <v>0.03</v>
      </c>
      <c r="N14" s="9" t="n">
        <v>0.08</v>
      </c>
      <c r="O14" s="9" t="n">
        <v>0.2</v>
      </c>
      <c r="P14" s="9" t="n">
        <v>-0.01</v>
      </c>
      <c r="Q14" s="9" t="n">
        <v>0</v>
      </c>
    </row>
    <row r="15" customFormat="false" ht="15" hidden="false" customHeight="false" outlineLevel="0" collapsed="false">
      <c r="A15" s="7" t="s">
        <v>54</v>
      </c>
      <c r="B15" s="9" t="n">
        <v>0.03</v>
      </c>
      <c r="C15" s="9" t="n">
        <v>0.09</v>
      </c>
      <c r="D15" s="9" t="n">
        <v>0.05</v>
      </c>
      <c r="E15" s="9" t="n">
        <v>0.09</v>
      </c>
      <c r="F15" s="9" t="n">
        <v>0.07</v>
      </c>
      <c r="G15" s="9" t="n">
        <v>0.03</v>
      </c>
      <c r="H15" s="9" t="n">
        <v>-0.06</v>
      </c>
      <c r="I15" s="9" t="n">
        <v>-0.03</v>
      </c>
      <c r="J15" s="9" t="n">
        <v>0.35</v>
      </c>
      <c r="K15" s="9" t="n">
        <v>1</v>
      </c>
      <c r="L15" s="9" t="n">
        <v>0.02</v>
      </c>
      <c r="M15" s="9" t="n">
        <v>-0.01</v>
      </c>
      <c r="N15" s="9" t="n">
        <v>0.08</v>
      </c>
      <c r="O15" s="9" t="n">
        <v>0.12</v>
      </c>
      <c r="P15" s="9" t="n">
        <v>0</v>
      </c>
      <c r="Q15" s="9" t="n">
        <v>-0.01</v>
      </c>
    </row>
    <row r="16" customFormat="false" ht="15" hidden="false" customHeight="false" outlineLevel="0" collapsed="false">
      <c r="A16" s="7" t="s">
        <v>72</v>
      </c>
      <c r="B16" s="9" t="n">
        <v>-0.19</v>
      </c>
      <c r="C16" s="9" t="n">
        <v>-0.1</v>
      </c>
      <c r="D16" s="9" t="n">
        <v>-0.13</v>
      </c>
      <c r="E16" s="9" t="n">
        <v>-0.1</v>
      </c>
      <c r="F16" s="9" t="n">
        <v>0.06</v>
      </c>
      <c r="G16" s="9" t="n">
        <v>0.08</v>
      </c>
      <c r="H16" s="9" t="n">
        <v>0.02</v>
      </c>
      <c r="I16" s="9" t="n">
        <v>0.03</v>
      </c>
      <c r="J16" s="9" t="n">
        <v>0</v>
      </c>
      <c r="K16" s="9" t="n">
        <v>0.02</v>
      </c>
      <c r="L16" s="9" t="n">
        <v>1</v>
      </c>
      <c r="M16" s="10" t="n">
        <v>-0.54</v>
      </c>
      <c r="N16" s="9" t="n">
        <v>-0.29</v>
      </c>
      <c r="O16" s="9" t="n">
        <v>0</v>
      </c>
      <c r="P16" s="9" t="n">
        <v>0.03</v>
      </c>
      <c r="Q16" s="9" t="n">
        <v>0.01</v>
      </c>
    </row>
    <row r="17" customFormat="false" ht="15" hidden="false" customHeight="false" outlineLevel="0" collapsed="false">
      <c r="A17" s="7" t="s">
        <v>140</v>
      </c>
      <c r="B17" s="9" t="n">
        <v>0.17</v>
      </c>
      <c r="C17" s="9" t="n">
        <v>0.1</v>
      </c>
      <c r="D17" s="9" t="n">
        <v>0.12</v>
      </c>
      <c r="E17" s="9" t="n">
        <v>0.1</v>
      </c>
      <c r="F17" s="9" t="n">
        <v>-0.03</v>
      </c>
      <c r="G17" s="9" t="n">
        <v>-0.05</v>
      </c>
      <c r="H17" s="9" t="n">
        <v>-0.02</v>
      </c>
      <c r="I17" s="9" t="n">
        <v>-0.02</v>
      </c>
      <c r="J17" s="9" t="n">
        <v>0.03</v>
      </c>
      <c r="K17" s="9" t="n">
        <v>-0.01</v>
      </c>
      <c r="L17" s="10" t="n">
        <v>-0.54</v>
      </c>
      <c r="M17" s="9" t="n">
        <v>1</v>
      </c>
      <c r="N17" s="9" t="n">
        <v>0.2</v>
      </c>
      <c r="O17" s="9" t="n">
        <v>-0.01</v>
      </c>
      <c r="P17" s="9" t="n">
        <v>-0.01</v>
      </c>
      <c r="Q17" s="9" t="n">
        <v>0.01</v>
      </c>
    </row>
    <row r="18" customFormat="false" ht="15" hidden="false" customHeight="false" outlineLevel="0" collapsed="false">
      <c r="A18" s="7" t="s">
        <v>73</v>
      </c>
      <c r="B18" s="9" t="n">
        <v>0.14</v>
      </c>
      <c r="C18" s="9" t="n">
        <v>0.13</v>
      </c>
      <c r="D18" s="9" t="n">
        <v>0.13</v>
      </c>
      <c r="E18" s="9" t="n">
        <v>0.14</v>
      </c>
      <c r="F18" s="9" t="n">
        <v>0</v>
      </c>
      <c r="G18" s="9" t="n">
        <v>-0.03</v>
      </c>
      <c r="H18" s="9" t="n">
        <v>-0.02</v>
      </c>
      <c r="I18" s="9" t="n">
        <v>0</v>
      </c>
      <c r="J18" s="9" t="n">
        <v>0.08</v>
      </c>
      <c r="K18" s="9" t="n">
        <v>0.08</v>
      </c>
      <c r="L18" s="9" t="n">
        <v>-0.29</v>
      </c>
      <c r="M18" s="9" t="n">
        <v>0.2</v>
      </c>
      <c r="N18" s="9" t="n">
        <v>1</v>
      </c>
      <c r="O18" s="9" t="n">
        <v>0.08</v>
      </c>
      <c r="P18" s="9" t="n">
        <v>-0.02</v>
      </c>
      <c r="Q18" s="9" t="n">
        <v>-0.03</v>
      </c>
    </row>
    <row r="19" customFormat="false" ht="15" hidden="false" customHeight="false" outlineLevel="0" collapsed="false">
      <c r="A19" s="7" t="s">
        <v>74</v>
      </c>
      <c r="B19" s="9" t="n">
        <v>-0.07</v>
      </c>
      <c r="C19" s="9" t="n">
        <v>0.04</v>
      </c>
      <c r="D19" s="9" t="n">
        <v>0.03</v>
      </c>
      <c r="E19" s="9" t="n">
        <v>0.04</v>
      </c>
      <c r="F19" s="9" t="n">
        <v>0.09</v>
      </c>
      <c r="G19" s="9" t="n">
        <v>0.11</v>
      </c>
      <c r="H19" s="9" t="n">
        <v>-0.04</v>
      </c>
      <c r="I19" s="9" t="n">
        <v>-0.03</v>
      </c>
      <c r="J19" s="9" t="n">
        <v>0.2</v>
      </c>
      <c r="K19" s="9" t="n">
        <v>0.12</v>
      </c>
      <c r="L19" s="9" t="n">
        <v>0</v>
      </c>
      <c r="M19" s="9" t="n">
        <v>-0.01</v>
      </c>
      <c r="N19" s="9" t="n">
        <v>0.08</v>
      </c>
      <c r="O19" s="9" t="n">
        <v>1</v>
      </c>
      <c r="P19" s="9" t="n">
        <v>0</v>
      </c>
      <c r="Q19" s="9" t="n">
        <v>-0.03</v>
      </c>
    </row>
    <row r="20" customFormat="false" ht="15" hidden="false" customHeight="false" outlineLevel="0" collapsed="false">
      <c r="A20" s="7" t="s">
        <v>141</v>
      </c>
      <c r="B20" s="9" t="n">
        <v>-0.03</v>
      </c>
      <c r="C20" s="9" t="n">
        <v>0</v>
      </c>
      <c r="D20" s="9" t="n">
        <v>-0.01</v>
      </c>
      <c r="E20" s="9" t="n">
        <v>0</v>
      </c>
      <c r="F20" s="9" t="n">
        <v>0.02</v>
      </c>
      <c r="G20" s="9" t="n">
        <v>0.01</v>
      </c>
      <c r="H20" s="9" t="n">
        <v>0.01</v>
      </c>
      <c r="I20" s="9" t="n">
        <v>0.02</v>
      </c>
      <c r="J20" s="9" t="n">
        <v>-0.01</v>
      </c>
      <c r="K20" s="9" t="n">
        <v>0</v>
      </c>
      <c r="L20" s="9" t="n">
        <v>0.03</v>
      </c>
      <c r="M20" s="9" t="n">
        <v>-0.01</v>
      </c>
      <c r="N20" s="9" t="n">
        <v>-0.02</v>
      </c>
      <c r="O20" s="9" t="n">
        <v>0</v>
      </c>
      <c r="P20" s="9" t="n">
        <v>1</v>
      </c>
      <c r="Q20" s="9" t="n">
        <v>0.33</v>
      </c>
    </row>
    <row r="21" customFormat="false" ht="15" hidden="false" customHeight="false" outlineLevel="0" collapsed="false">
      <c r="A21" s="7" t="s">
        <v>142</v>
      </c>
      <c r="B21" s="9" t="n">
        <v>-0.03</v>
      </c>
      <c r="C21" s="9" t="n">
        <v>-0.02</v>
      </c>
      <c r="D21" s="9" t="n">
        <v>-0.02</v>
      </c>
      <c r="E21" s="9" t="n">
        <v>-0.02</v>
      </c>
      <c r="F21" s="9" t="n">
        <v>0.01</v>
      </c>
      <c r="G21" s="9" t="n">
        <v>0.01</v>
      </c>
      <c r="H21" s="9" t="n">
        <v>0</v>
      </c>
      <c r="I21" s="9" t="n">
        <v>0</v>
      </c>
      <c r="J21" s="9" t="n">
        <v>0</v>
      </c>
      <c r="K21" s="9" t="n">
        <v>-0.01</v>
      </c>
      <c r="L21" s="9" t="n">
        <v>0.01</v>
      </c>
      <c r="M21" s="9" t="n">
        <v>0.01</v>
      </c>
      <c r="N21" s="9" t="n">
        <v>-0.03</v>
      </c>
      <c r="O21" s="9" t="n">
        <v>-0.03</v>
      </c>
      <c r="P21" s="9" t="n">
        <v>0.33</v>
      </c>
      <c r="Q21" s="9" t="n">
        <v>1</v>
      </c>
    </row>
    <row r="24" customFormat="false" ht="15" hidden="false" customHeight="false" outlineLevel="0" collapsed="false">
      <c r="A24" s="5" t="s">
        <v>143</v>
      </c>
    </row>
    <row r="25" customFormat="false" ht="39.55" hidden="false" customHeight="false" outlineLevel="0" collapsed="false">
      <c r="A25" s="6" t="s">
        <v>43</v>
      </c>
      <c r="B25" s="6" t="s">
        <v>49</v>
      </c>
      <c r="C25" s="6" t="s">
        <v>50</v>
      </c>
      <c r="D25" s="6" t="s">
        <v>51</v>
      </c>
      <c r="E25" s="6" t="s">
        <v>52</v>
      </c>
      <c r="F25" s="6" t="s">
        <v>69</v>
      </c>
      <c r="G25" s="6" t="s">
        <v>70</v>
      </c>
      <c r="H25" s="6" t="s">
        <v>53</v>
      </c>
      <c r="I25" s="6" t="s">
        <v>139</v>
      </c>
      <c r="J25" s="6" t="s">
        <v>71</v>
      </c>
      <c r="K25" s="6" t="s">
        <v>54</v>
      </c>
      <c r="L25" s="6" t="s">
        <v>72</v>
      </c>
      <c r="M25" s="6" t="s">
        <v>140</v>
      </c>
      <c r="N25" s="6" t="s">
        <v>73</v>
      </c>
      <c r="O25" s="6" t="s">
        <v>74</v>
      </c>
      <c r="P25" s="6" t="s">
        <v>141</v>
      </c>
      <c r="Q25" s="6" t="s">
        <v>142</v>
      </c>
    </row>
    <row r="26" customFormat="false" ht="15" hidden="false" customHeight="false" outlineLevel="0" collapsed="false">
      <c r="A26" s="7" t="s">
        <v>49</v>
      </c>
      <c r="B26" s="9" t="n">
        <v>1</v>
      </c>
      <c r="C26" s="9" t="n">
        <v>0.04</v>
      </c>
      <c r="D26" s="9" t="n">
        <v>0.05</v>
      </c>
      <c r="E26" s="9" t="n">
        <v>0.04</v>
      </c>
      <c r="F26" s="9" t="n">
        <v>-0.04</v>
      </c>
      <c r="G26" s="9" t="n">
        <v>-0.06</v>
      </c>
      <c r="H26" s="9" t="n">
        <v>0</v>
      </c>
      <c r="I26" s="9" t="n">
        <v>0.01</v>
      </c>
      <c r="J26" s="9" t="n">
        <v>0</v>
      </c>
      <c r="K26" s="9" t="n">
        <v>0</v>
      </c>
      <c r="L26" s="9" t="n">
        <v>-0.02</v>
      </c>
      <c r="M26" s="9" t="n">
        <v>0.01</v>
      </c>
      <c r="N26" s="9" t="n">
        <v>0.01</v>
      </c>
      <c r="O26" s="9" t="n">
        <v>-0.02</v>
      </c>
      <c r="P26" s="9" t="n">
        <v>0</v>
      </c>
      <c r="Q26" s="9" t="n">
        <v>-0.01</v>
      </c>
    </row>
    <row r="27" customFormat="false" ht="15" hidden="false" customHeight="false" outlineLevel="0" collapsed="false">
      <c r="A27" s="7" t="s">
        <v>50</v>
      </c>
      <c r="B27" s="9" t="n">
        <v>0.04</v>
      </c>
      <c r="C27" s="9" t="n">
        <v>1</v>
      </c>
      <c r="D27" s="10" t="n">
        <v>0.75</v>
      </c>
      <c r="E27" s="10" t="n">
        <v>0.98</v>
      </c>
      <c r="F27" s="10" t="n">
        <v>0.64</v>
      </c>
      <c r="G27" s="9" t="n">
        <v>0.37</v>
      </c>
      <c r="H27" s="9" t="n">
        <v>0</v>
      </c>
      <c r="I27" s="9" t="n">
        <v>0.05</v>
      </c>
      <c r="J27" s="9" t="n">
        <v>0.14</v>
      </c>
      <c r="K27" s="9" t="n">
        <v>0.11</v>
      </c>
      <c r="L27" s="9" t="n">
        <v>-0.06</v>
      </c>
      <c r="M27" s="9" t="n">
        <v>0.07</v>
      </c>
      <c r="N27" s="9" t="n">
        <v>0.12</v>
      </c>
      <c r="O27" s="9" t="n">
        <v>0.08</v>
      </c>
      <c r="P27" s="9" t="n">
        <v>0.02</v>
      </c>
      <c r="Q27" s="9" t="n">
        <v>-0.03</v>
      </c>
    </row>
    <row r="28" customFormat="false" ht="15" hidden="false" customHeight="false" outlineLevel="0" collapsed="false">
      <c r="A28" s="7" t="s">
        <v>51</v>
      </c>
      <c r="B28" s="9" t="n">
        <v>0.05</v>
      </c>
      <c r="C28" s="10" t="n">
        <v>0.75</v>
      </c>
      <c r="D28" s="9" t="n">
        <v>1</v>
      </c>
      <c r="E28" s="10" t="n">
        <v>0.75</v>
      </c>
      <c r="F28" s="9" t="n">
        <v>0.38</v>
      </c>
      <c r="G28" s="9" t="n">
        <v>0.49</v>
      </c>
      <c r="H28" s="9" t="n">
        <v>0.03</v>
      </c>
      <c r="I28" s="9" t="n">
        <v>0.08</v>
      </c>
      <c r="J28" s="9" t="n">
        <v>0.01</v>
      </c>
      <c r="K28" s="9" t="n">
        <v>0.05</v>
      </c>
      <c r="L28" s="9" t="n">
        <v>-0.07</v>
      </c>
      <c r="M28" s="9" t="n">
        <v>0.07</v>
      </c>
      <c r="N28" s="9" t="n">
        <v>0.12</v>
      </c>
      <c r="O28" s="9" t="n">
        <v>0.04</v>
      </c>
      <c r="P28" s="9" t="n">
        <v>0</v>
      </c>
      <c r="Q28" s="9" t="n">
        <v>-0.02</v>
      </c>
    </row>
    <row r="29" customFormat="false" ht="15" hidden="false" customHeight="false" outlineLevel="0" collapsed="false">
      <c r="A29" s="7" t="s">
        <v>52</v>
      </c>
      <c r="B29" s="9" t="n">
        <v>0.04</v>
      </c>
      <c r="C29" s="10" t="n">
        <v>0.98</v>
      </c>
      <c r="D29" s="10" t="n">
        <v>0.75</v>
      </c>
      <c r="E29" s="9" t="n">
        <v>1</v>
      </c>
      <c r="F29" s="10" t="n">
        <v>0.63</v>
      </c>
      <c r="G29" s="9" t="n">
        <v>0.36</v>
      </c>
      <c r="H29" s="9" t="n">
        <v>-0.01</v>
      </c>
      <c r="I29" s="9" t="n">
        <v>0.05</v>
      </c>
      <c r="J29" s="9" t="n">
        <v>0.14</v>
      </c>
      <c r="K29" s="9" t="n">
        <v>0.11</v>
      </c>
      <c r="L29" s="9" t="n">
        <v>-0.07</v>
      </c>
      <c r="M29" s="9" t="n">
        <v>0.08</v>
      </c>
      <c r="N29" s="9" t="n">
        <v>0.13</v>
      </c>
      <c r="O29" s="9" t="n">
        <v>0.08</v>
      </c>
      <c r="P29" s="9" t="n">
        <v>0.02</v>
      </c>
      <c r="Q29" s="9" t="n">
        <v>-0.02</v>
      </c>
    </row>
    <row r="30" customFormat="false" ht="15" hidden="false" customHeight="false" outlineLevel="0" collapsed="false">
      <c r="A30" s="7" t="s">
        <v>69</v>
      </c>
      <c r="B30" s="9" t="n">
        <v>-0.04</v>
      </c>
      <c r="C30" s="10" t="n">
        <v>0.64</v>
      </c>
      <c r="D30" s="9" t="n">
        <v>0.38</v>
      </c>
      <c r="E30" s="10" t="n">
        <v>0.63</v>
      </c>
      <c r="F30" s="9" t="n">
        <v>1</v>
      </c>
      <c r="G30" s="10" t="n">
        <v>0.8</v>
      </c>
      <c r="H30" s="9" t="n">
        <v>0</v>
      </c>
      <c r="I30" s="9" t="n">
        <v>0.06</v>
      </c>
      <c r="J30" s="9" t="n">
        <v>0.16</v>
      </c>
      <c r="K30" s="9" t="n">
        <v>0.1</v>
      </c>
      <c r="L30" s="9" t="n">
        <v>0.07</v>
      </c>
      <c r="M30" s="9" t="n">
        <v>-0.01</v>
      </c>
      <c r="N30" s="9" t="n">
        <v>0.01</v>
      </c>
      <c r="O30" s="9" t="n">
        <v>0.12</v>
      </c>
      <c r="P30" s="9" t="n">
        <v>0.02</v>
      </c>
      <c r="Q30" s="9" t="n">
        <v>-0.01</v>
      </c>
    </row>
    <row r="31" customFormat="false" ht="15" hidden="false" customHeight="false" outlineLevel="0" collapsed="false">
      <c r="A31" s="7" t="s">
        <v>70</v>
      </c>
      <c r="B31" s="9" t="n">
        <v>-0.06</v>
      </c>
      <c r="C31" s="9" t="n">
        <v>0.37</v>
      </c>
      <c r="D31" s="9" t="n">
        <v>0.49</v>
      </c>
      <c r="E31" s="9" t="n">
        <v>0.36</v>
      </c>
      <c r="F31" s="10" t="n">
        <v>0.8</v>
      </c>
      <c r="G31" s="9" t="n">
        <v>1</v>
      </c>
      <c r="H31" s="9" t="n">
        <v>0.04</v>
      </c>
      <c r="I31" s="9" t="n">
        <v>0.08</v>
      </c>
      <c r="J31" s="9" t="n">
        <v>0.05</v>
      </c>
      <c r="K31" s="9" t="n">
        <v>0.03</v>
      </c>
      <c r="L31" s="9" t="n">
        <v>0.1</v>
      </c>
      <c r="M31" s="9" t="n">
        <v>-0.04</v>
      </c>
      <c r="N31" s="9" t="n">
        <v>-0.03</v>
      </c>
      <c r="O31" s="9" t="n">
        <v>0.11</v>
      </c>
      <c r="P31" s="9" t="n">
        <v>0.01</v>
      </c>
      <c r="Q31" s="9" t="n">
        <v>0</v>
      </c>
    </row>
    <row r="32" customFormat="false" ht="15" hidden="false" customHeight="false" outlineLevel="0" collapsed="false">
      <c r="A32" s="7" t="s">
        <v>53</v>
      </c>
      <c r="B32" s="9" t="n">
        <v>0</v>
      </c>
      <c r="C32" s="9" t="n">
        <v>0</v>
      </c>
      <c r="D32" s="9" t="n">
        <v>0.03</v>
      </c>
      <c r="E32" s="9" t="n">
        <v>-0.01</v>
      </c>
      <c r="F32" s="9" t="n">
        <v>0</v>
      </c>
      <c r="G32" s="9" t="n">
        <v>0.04</v>
      </c>
      <c r="H32" s="9" t="n">
        <v>1</v>
      </c>
      <c r="I32" s="10" t="n">
        <v>0.89</v>
      </c>
      <c r="J32" s="9" t="n">
        <v>-0.26</v>
      </c>
      <c r="K32" s="9" t="n">
        <v>-0.03</v>
      </c>
      <c r="L32" s="9" t="n">
        <v>0.04</v>
      </c>
      <c r="M32" s="9" t="n">
        <v>-0.03</v>
      </c>
      <c r="N32" s="9" t="n">
        <v>-0.01</v>
      </c>
      <c r="O32" s="9" t="n">
        <v>-0.02</v>
      </c>
      <c r="P32" s="9" t="n">
        <v>0.03</v>
      </c>
      <c r="Q32" s="9" t="n">
        <v>0</v>
      </c>
    </row>
    <row r="33" customFormat="false" ht="15" hidden="false" customHeight="false" outlineLevel="0" collapsed="false">
      <c r="A33" s="7" t="s">
        <v>139</v>
      </c>
      <c r="B33" s="9" t="n">
        <v>0.01</v>
      </c>
      <c r="C33" s="9" t="n">
        <v>0.05</v>
      </c>
      <c r="D33" s="9" t="n">
        <v>0.08</v>
      </c>
      <c r="E33" s="9" t="n">
        <v>0.05</v>
      </c>
      <c r="F33" s="9" t="n">
        <v>0.06</v>
      </c>
      <c r="G33" s="9" t="n">
        <v>0.08</v>
      </c>
      <c r="H33" s="10" t="n">
        <v>0.89</v>
      </c>
      <c r="I33" s="9" t="n">
        <v>1</v>
      </c>
      <c r="J33" s="9" t="n">
        <v>-0.2</v>
      </c>
      <c r="K33" s="9" t="n">
        <v>0</v>
      </c>
      <c r="L33" s="9" t="n">
        <v>0.04</v>
      </c>
      <c r="M33" s="9" t="n">
        <v>-0.03</v>
      </c>
      <c r="N33" s="9" t="n">
        <v>0</v>
      </c>
      <c r="O33" s="9" t="n">
        <v>-0.02</v>
      </c>
      <c r="P33" s="9" t="n">
        <v>0.04</v>
      </c>
      <c r="Q33" s="9" t="n">
        <v>0.01</v>
      </c>
    </row>
    <row r="34" customFormat="false" ht="15" hidden="false" customHeight="false" outlineLevel="0" collapsed="false">
      <c r="A34" s="7" t="s">
        <v>71</v>
      </c>
      <c r="B34" s="9" t="n">
        <v>0</v>
      </c>
      <c r="C34" s="9" t="n">
        <v>0.14</v>
      </c>
      <c r="D34" s="9" t="n">
        <v>0.01</v>
      </c>
      <c r="E34" s="9" t="n">
        <v>0.14</v>
      </c>
      <c r="F34" s="9" t="n">
        <v>0.16</v>
      </c>
      <c r="G34" s="9" t="n">
        <v>0.05</v>
      </c>
      <c r="H34" s="9" t="n">
        <v>-0.26</v>
      </c>
      <c r="I34" s="9" t="n">
        <v>-0.2</v>
      </c>
      <c r="J34" s="9" t="n">
        <v>1</v>
      </c>
      <c r="K34" s="9" t="n">
        <v>0.31</v>
      </c>
      <c r="L34" s="9" t="n">
        <v>-0.03</v>
      </c>
      <c r="M34" s="9" t="n">
        <v>0.05</v>
      </c>
      <c r="N34" s="9" t="n">
        <v>0.11</v>
      </c>
      <c r="O34" s="9" t="n">
        <v>0.17</v>
      </c>
      <c r="P34" s="9" t="n">
        <v>0.01</v>
      </c>
      <c r="Q34" s="9" t="n">
        <v>0</v>
      </c>
    </row>
    <row r="35" customFormat="false" ht="15" hidden="false" customHeight="false" outlineLevel="0" collapsed="false">
      <c r="A35" s="7" t="s">
        <v>54</v>
      </c>
      <c r="B35" s="9" t="n">
        <v>0</v>
      </c>
      <c r="C35" s="9" t="n">
        <v>0.11</v>
      </c>
      <c r="D35" s="9" t="n">
        <v>0.05</v>
      </c>
      <c r="E35" s="9" t="n">
        <v>0.11</v>
      </c>
      <c r="F35" s="9" t="n">
        <v>0.1</v>
      </c>
      <c r="G35" s="9" t="n">
        <v>0.03</v>
      </c>
      <c r="H35" s="9" t="n">
        <v>-0.03</v>
      </c>
      <c r="I35" s="9" t="n">
        <v>0</v>
      </c>
      <c r="J35" s="9" t="n">
        <v>0.31</v>
      </c>
      <c r="K35" s="9" t="n">
        <v>1</v>
      </c>
      <c r="L35" s="9" t="n">
        <v>-0.01</v>
      </c>
      <c r="M35" s="9" t="n">
        <v>0.02</v>
      </c>
      <c r="N35" s="9" t="n">
        <v>0.09</v>
      </c>
      <c r="O35" s="9" t="n">
        <v>0.09</v>
      </c>
      <c r="P35" s="9" t="n">
        <v>0.03</v>
      </c>
      <c r="Q35" s="9" t="n">
        <v>0</v>
      </c>
    </row>
    <row r="36" customFormat="false" ht="15" hidden="false" customHeight="false" outlineLevel="0" collapsed="false">
      <c r="A36" s="7" t="s">
        <v>72</v>
      </c>
      <c r="B36" s="9" t="n">
        <v>-0.02</v>
      </c>
      <c r="C36" s="9" t="n">
        <v>-0.06</v>
      </c>
      <c r="D36" s="9" t="n">
        <v>-0.07</v>
      </c>
      <c r="E36" s="9" t="n">
        <v>-0.07</v>
      </c>
      <c r="F36" s="9" t="n">
        <v>0.07</v>
      </c>
      <c r="G36" s="9" t="n">
        <v>0.1</v>
      </c>
      <c r="H36" s="9" t="n">
        <v>0.04</v>
      </c>
      <c r="I36" s="9" t="n">
        <v>0.04</v>
      </c>
      <c r="J36" s="9" t="n">
        <v>-0.03</v>
      </c>
      <c r="K36" s="9" t="n">
        <v>-0.01</v>
      </c>
      <c r="L36" s="9" t="n">
        <v>1</v>
      </c>
      <c r="M36" s="9" t="n">
        <v>-0.44</v>
      </c>
      <c r="N36" s="9" t="n">
        <v>-0.25</v>
      </c>
      <c r="O36" s="9" t="n">
        <v>0.01</v>
      </c>
      <c r="P36" s="9" t="n">
        <v>0.03</v>
      </c>
      <c r="Q36" s="9" t="n">
        <v>0.01</v>
      </c>
    </row>
    <row r="37" customFormat="false" ht="15" hidden="false" customHeight="false" outlineLevel="0" collapsed="false">
      <c r="A37" s="7" t="s">
        <v>140</v>
      </c>
      <c r="B37" s="9" t="n">
        <v>0.01</v>
      </c>
      <c r="C37" s="9" t="n">
        <v>0.07</v>
      </c>
      <c r="D37" s="9" t="n">
        <v>0.07</v>
      </c>
      <c r="E37" s="9" t="n">
        <v>0.08</v>
      </c>
      <c r="F37" s="9" t="n">
        <v>-0.01</v>
      </c>
      <c r="G37" s="9" t="n">
        <v>-0.04</v>
      </c>
      <c r="H37" s="9" t="n">
        <v>-0.03</v>
      </c>
      <c r="I37" s="9" t="n">
        <v>-0.03</v>
      </c>
      <c r="J37" s="9" t="n">
        <v>0.05</v>
      </c>
      <c r="K37" s="9" t="n">
        <v>0.02</v>
      </c>
      <c r="L37" s="9" t="n">
        <v>-0.44</v>
      </c>
      <c r="M37" s="9" t="n">
        <v>1</v>
      </c>
      <c r="N37" s="9" t="n">
        <v>0.17</v>
      </c>
      <c r="O37" s="9" t="n">
        <v>-0.01</v>
      </c>
      <c r="P37" s="9" t="n">
        <v>0.01</v>
      </c>
      <c r="Q37" s="9" t="n">
        <v>0.03</v>
      </c>
    </row>
    <row r="38" customFormat="false" ht="15" hidden="false" customHeight="false" outlineLevel="0" collapsed="false">
      <c r="A38" s="7" t="s">
        <v>73</v>
      </c>
      <c r="B38" s="9" t="n">
        <v>0.01</v>
      </c>
      <c r="C38" s="9" t="n">
        <v>0.12</v>
      </c>
      <c r="D38" s="9" t="n">
        <v>0.12</v>
      </c>
      <c r="E38" s="9" t="n">
        <v>0.13</v>
      </c>
      <c r="F38" s="9" t="n">
        <v>0.01</v>
      </c>
      <c r="G38" s="9" t="n">
        <v>-0.03</v>
      </c>
      <c r="H38" s="9" t="n">
        <v>-0.01</v>
      </c>
      <c r="I38" s="9" t="n">
        <v>0</v>
      </c>
      <c r="J38" s="9" t="n">
        <v>0.11</v>
      </c>
      <c r="K38" s="9" t="n">
        <v>0.09</v>
      </c>
      <c r="L38" s="9" t="n">
        <v>-0.25</v>
      </c>
      <c r="M38" s="9" t="n">
        <v>0.17</v>
      </c>
      <c r="N38" s="9" t="n">
        <v>1</v>
      </c>
      <c r="O38" s="9" t="n">
        <v>0.08</v>
      </c>
      <c r="P38" s="9" t="n">
        <v>0.02</v>
      </c>
      <c r="Q38" s="9" t="n">
        <v>-0.01</v>
      </c>
    </row>
    <row r="39" customFormat="false" ht="15" hidden="false" customHeight="false" outlineLevel="0" collapsed="false">
      <c r="A39" s="7" t="s">
        <v>74</v>
      </c>
      <c r="B39" s="9" t="n">
        <v>-0.02</v>
      </c>
      <c r="C39" s="9" t="n">
        <v>0.08</v>
      </c>
      <c r="D39" s="9" t="n">
        <v>0.04</v>
      </c>
      <c r="E39" s="9" t="n">
        <v>0.08</v>
      </c>
      <c r="F39" s="9" t="n">
        <v>0.12</v>
      </c>
      <c r="G39" s="9" t="n">
        <v>0.11</v>
      </c>
      <c r="H39" s="9" t="n">
        <v>-0.02</v>
      </c>
      <c r="I39" s="9" t="n">
        <v>-0.02</v>
      </c>
      <c r="J39" s="9" t="n">
        <v>0.17</v>
      </c>
      <c r="K39" s="9" t="n">
        <v>0.09</v>
      </c>
      <c r="L39" s="9" t="n">
        <v>0.01</v>
      </c>
      <c r="M39" s="9" t="n">
        <v>-0.01</v>
      </c>
      <c r="N39" s="9" t="n">
        <v>0.08</v>
      </c>
      <c r="O39" s="9" t="n">
        <v>1</v>
      </c>
      <c r="P39" s="9" t="n">
        <v>-0.01</v>
      </c>
      <c r="Q39" s="9" t="n">
        <v>-0.02</v>
      </c>
    </row>
    <row r="40" customFormat="false" ht="15" hidden="false" customHeight="false" outlineLevel="0" collapsed="false">
      <c r="A40" s="7" t="s">
        <v>141</v>
      </c>
      <c r="B40" s="9" t="n">
        <v>0</v>
      </c>
      <c r="C40" s="9" t="n">
        <v>0.02</v>
      </c>
      <c r="D40" s="9" t="n">
        <v>0</v>
      </c>
      <c r="E40" s="9" t="n">
        <v>0.02</v>
      </c>
      <c r="F40" s="9" t="n">
        <v>0.02</v>
      </c>
      <c r="G40" s="9" t="n">
        <v>0.01</v>
      </c>
      <c r="H40" s="9" t="n">
        <v>0.03</v>
      </c>
      <c r="I40" s="9" t="n">
        <v>0.04</v>
      </c>
      <c r="J40" s="9" t="n">
        <v>0.01</v>
      </c>
      <c r="K40" s="9" t="n">
        <v>0.03</v>
      </c>
      <c r="L40" s="9" t="n">
        <v>0.03</v>
      </c>
      <c r="M40" s="9" t="n">
        <v>0.01</v>
      </c>
      <c r="N40" s="9" t="n">
        <v>0.02</v>
      </c>
      <c r="O40" s="9" t="n">
        <v>-0.01</v>
      </c>
      <c r="P40" s="9" t="n">
        <v>1</v>
      </c>
      <c r="Q40" s="9" t="n">
        <v>0.33</v>
      </c>
    </row>
    <row r="41" customFormat="false" ht="15" hidden="false" customHeight="false" outlineLevel="0" collapsed="false">
      <c r="A41" s="7" t="s">
        <v>142</v>
      </c>
      <c r="B41" s="9" t="n">
        <v>-0.01</v>
      </c>
      <c r="C41" s="9" t="n">
        <v>-0.03</v>
      </c>
      <c r="D41" s="9" t="n">
        <v>-0.02</v>
      </c>
      <c r="E41" s="9" t="n">
        <v>-0.02</v>
      </c>
      <c r="F41" s="9" t="n">
        <v>-0.01</v>
      </c>
      <c r="G41" s="9" t="n">
        <v>0</v>
      </c>
      <c r="H41" s="9" t="n">
        <v>0</v>
      </c>
      <c r="I41" s="9" t="n">
        <v>0.01</v>
      </c>
      <c r="J41" s="9" t="n">
        <v>0</v>
      </c>
      <c r="K41" s="9" t="n">
        <v>0</v>
      </c>
      <c r="L41" s="9" t="n">
        <v>0.01</v>
      </c>
      <c r="M41" s="9" t="n">
        <v>0.03</v>
      </c>
      <c r="N41" s="9" t="n">
        <v>-0.01</v>
      </c>
      <c r="O41" s="9" t="n">
        <v>-0.02</v>
      </c>
      <c r="P41" s="9" t="n">
        <v>0.33</v>
      </c>
      <c r="Q41" s="9" t="n">
        <v>1</v>
      </c>
    </row>
    <row r="44" customFormat="false" ht="15" hidden="false" customHeight="false" outlineLevel="0" collapsed="false">
      <c r="A44" s="5" t="s">
        <v>144</v>
      </c>
    </row>
    <row r="45" customFormat="false" ht="15" hidden="false" customHeight="false" outlineLevel="0" collapsed="false">
      <c r="A45" s="6" t="s">
        <v>145</v>
      </c>
      <c r="B45" s="6" t="s">
        <v>146</v>
      </c>
      <c r="C45" s="6" t="s">
        <v>147</v>
      </c>
      <c r="D45" s="6" t="s">
        <v>148</v>
      </c>
    </row>
    <row r="46" customFormat="false" ht="15" hidden="false" customHeight="false" outlineLevel="0" collapsed="false">
      <c r="A46" s="7" t="s">
        <v>149</v>
      </c>
      <c r="B46" s="9" t="n">
        <v>0.373</v>
      </c>
      <c r="C46" s="9" t="n">
        <v>0.419</v>
      </c>
      <c r="D46" s="9" t="n">
        <v>0.046</v>
      </c>
    </row>
    <row r="47" customFormat="false" ht="15" hidden="false" customHeight="false" outlineLevel="0" collapsed="false">
      <c r="A47" s="7" t="s">
        <v>150</v>
      </c>
      <c r="B47" s="9" t="n">
        <v>0.312</v>
      </c>
      <c r="C47" s="9" t="n">
        <v>0.349</v>
      </c>
      <c r="D47" s="9" t="n">
        <v>0.038</v>
      </c>
    </row>
    <row r="48" customFormat="false" ht="15" hidden="false" customHeight="false" outlineLevel="0" collapsed="false">
      <c r="A48" s="7" t="s">
        <v>151</v>
      </c>
      <c r="B48" s="9" t="n">
        <v>0.305</v>
      </c>
      <c r="C48" s="9" t="n">
        <v>0.343</v>
      </c>
      <c r="D48" s="9" t="n">
        <v>0.038</v>
      </c>
    </row>
    <row r="49" customFormat="false" ht="15" hidden="false" customHeight="false" outlineLevel="0" collapsed="false">
      <c r="A49" s="7" t="s">
        <v>152</v>
      </c>
      <c r="B49" s="9" t="n">
        <v>0.262</v>
      </c>
      <c r="C49" s="9" t="n">
        <v>-0.322</v>
      </c>
      <c r="D49" s="9" t="n">
        <v>-0.06</v>
      </c>
    </row>
    <row r="50" customFormat="false" ht="15" hidden="false" customHeight="false" outlineLevel="0" collapsed="false">
      <c r="A50" s="7" t="s">
        <v>153</v>
      </c>
      <c r="B50" s="9" t="n">
        <v>0.183</v>
      </c>
      <c r="C50" s="9" t="n">
        <v>-0.227</v>
      </c>
      <c r="D50" s="9" t="n">
        <v>-0.044</v>
      </c>
    </row>
    <row r="51" customFormat="false" ht="15" hidden="false" customHeight="false" outlineLevel="0" collapsed="false">
      <c r="A51" s="7" t="s">
        <v>154</v>
      </c>
      <c r="B51" s="9" t="n">
        <v>0.165</v>
      </c>
      <c r="C51" s="9" t="n">
        <v>-0.187</v>
      </c>
      <c r="D51" s="9" t="n">
        <v>-0.021</v>
      </c>
    </row>
    <row r="52" customFormat="false" ht="15" hidden="false" customHeight="false" outlineLevel="0" collapsed="false">
      <c r="A52" s="7" t="s">
        <v>155</v>
      </c>
      <c r="B52" s="9" t="n">
        <v>0.159</v>
      </c>
      <c r="C52" s="9" t="n">
        <v>0.168</v>
      </c>
      <c r="D52" s="9" t="n">
        <v>0.009</v>
      </c>
    </row>
    <row r="53" customFormat="false" ht="15" hidden="false" customHeight="false" outlineLevel="0" collapsed="false">
      <c r="A53" s="7" t="s">
        <v>156</v>
      </c>
      <c r="B53" s="9" t="n">
        <v>0.132</v>
      </c>
      <c r="C53" s="9" t="n">
        <v>0.14</v>
      </c>
      <c r="D53" s="9" t="n">
        <v>0.007</v>
      </c>
    </row>
    <row r="54" customFormat="false" ht="15" hidden="false" customHeight="false" outlineLevel="0" collapsed="false">
      <c r="A54" s="7" t="s">
        <v>157</v>
      </c>
      <c r="B54" s="9" t="n">
        <v>0.096</v>
      </c>
      <c r="C54" s="9" t="n">
        <v>-0.539</v>
      </c>
      <c r="D54" s="9" t="n">
        <v>-0.443</v>
      </c>
    </row>
    <row r="55" customFormat="false" ht="15" hidden="false" customHeight="false" outlineLevel="0" collapsed="false">
      <c r="A55" s="7" t="s">
        <v>158</v>
      </c>
      <c r="B55" s="9" t="n">
        <v>0.091</v>
      </c>
      <c r="C55" s="9" t="n">
        <v>0.045</v>
      </c>
      <c r="D55" s="9" t="n">
        <v>0.136</v>
      </c>
    </row>
    <row r="57" customFormat="false" ht="30" hidden="false" customHeight="true" outlineLevel="0" collapsed="false">
      <c r="A57" s="2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7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" t="s">
        <v>161</v>
      </c>
    </row>
    <row r="4" customFormat="false" ht="15" hidden="false" customHeight="false" outlineLevel="0" collapsed="false">
      <c r="A4" s="5" t="s">
        <v>162</v>
      </c>
    </row>
    <row r="5" customFormat="false" ht="15" hidden="false" customHeight="false" outlineLevel="0" collapsed="false">
      <c r="A5" s="6" t="s">
        <v>163</v>
      </c>
      <c r="B5" s="6" t="s">
        <v>59</v>
      </c>
      <c r="C5" s="6" t="s">
        <v>164</v>
      </c>
    </row>
    <row r="6" customFormat="false" ht="15" hidden="false" customHeight="false" outlineLevel="0" collapsed="false">
      <c r="A6" s="7" t="s">
        <v>165</v>
      </c>
      <c r="B6" s="9" t="n">
        <v>1036781</v>
      </c>
      <c r="C6" s="8" t="n">
        <v>62.07</v>
      </c>
    </row>
    <row r="7" customFormat="false" ht="15" hidden="false" customHeight="false" outlineLevel="0" collapsed="false">
      <c r="A7" s="7" t="s">
        <v>166</v>
      </c>
      <c r="B7" s="9" t="n">
        <v>316319</v>
      </c>
      <c r="C7" s="8" t="n">
        <v>18.94</v>
      </c>
    </row>
    <row r="8" customFormat="false" ht="15" hidden="false" customHeight="false" outlineLevel="0" collapsed="false">
      <c r="A8" s="7" t="s">
        <v>167</v>
      </c>
      <c r="B8" s="9" t="n">
        <v>290678</v>
      </c>
      <c r="C8" s="8" t="n">
        <v>17.4</v>
      </c>
    </row>
    <row r="9" customFormat="false" ht="15" hidden="false" customHeight="false" outlineLevel="0" collapsed="false">
      <c r="A9" s="7" t="s">
        <v>168</v>
      </c>
      <c r="B9" s="9" t="n">
        <v>26436</v>
      </c>
      <c r="C9" s="8" t="n">
        <v>1.58</v>
      </c>
    </row>
    <row r="21" customFormat="false" ht="15" hidden="false" customHeight="false" outlineLevel="0" collapsed="false">
      <c r="A21" s="5" t="s">
        <v>169</v>
      </c>
    </row>
    <row r="22" customFormat="false" ht="15" hidden="false" customHeight="false" outlineLevel="0" collapsed="false">
      <c r="A22" s="6" t="s">
        <v>170</v>
      </c>
      <c r="B22" s="6" t="s">
        <v>171</v>
      </c>
      <c r="C22" s="6" t="s">
        <v>78</v>
      </c>
    </row>
    <row r="23" customFormat="false" ht="15" hidden="false" customHeight="false" outlineLevel="0" collapsed="false">
      <c r="A23" s="7" t="s">
        <v>172</v>
      </c>
      <c r="B23" s="8" t="n">
        <v>6.98</v>
      </c>
      <c r="C23" s="9" t="n">
        <v>207217</v>
      </c>
    </row>
    <row r="24" customFormat="false" ht="15" hidden="false" customHeight="false" outlineLevel="0" collapsed="false">
      <c r="A24" s="7" t="s">
        <v>173</v>
      </c>
      <c r="B24" s="8" t="n">
        <v>10.32</v>
      </c>
      <c r="C24" s="9" t="n">
        <v>100294</v>
      </c>
    </row>
    <row r="25" customFormat="false" ht="15" hidden="false" customHeight="false" outlineLevel="0" collapsed="false">
      <c r="A25" s="7" t="s">
        <v>174</v>
      </c>
      <c r="B25" s="8" t="n">
        <v>7.75</v>
      </c>
      <c r="C25" s="9" t="n">
        <v>196785</v>
      </c>
    </row>
    <row r="26" customFormat="false" ht="15" hidden="false" customHeight="false" outlineLevel="0" collapsed="false">
      <c r="A26" s="7" t="s">
        <v>175</v>
      </c>
      <c r="B26" s="8" t="n">
        <v>8.65</v>
      </c>
      <c r="C26" s="9" t="n">
        <v>110726</v>
      </c>
    </row>
    <row r="29" customFormat="false" ht="15" hidden="false" customHeight="false" outlineLevel="0" collapsed="false">
      <c r="A29" s="5" t="s">
        <v>176</v>
      </c>
    </row>
    <row r="30" customFormat="false" ht="15" hidden="false" customHeight="false" outlineLevel="0" collapsed="false">
      <c r="A30" s="6" t="s">
        <v>177</v>
      </c>
      <c r="B30" s="6" t="s">
        <v>171</v>
      </c>
      <c r="C30" s="6" t="s">
        <v>78</v>
      </c>
    </row>
    <row r="31" customFormat="false" ht="15" hidden="false" customHeight="false" outlineLevel="0" collapsed="false">
      <c r="A31" s="7" t="s">
        <v>178</v>
      </c>
      <c r="B31" s="8" t="n">
        <v>6.98</v>
      </c>
      <c r="C31" s="9" t="n">
        <v>207217</v>
      </c>
    </row>
    <row r="32" customFormat="false" ht="15" hidden="false" customHeight="false" outlineLevel="0" collapsed="false">
      <c r="A32" s="7" t="s">
        <v>179</v>
      </c>
      <c r="B32" s="8" t="n">
        <v>8.83</v>
      </c>
      <c r="C32" s="9" t="n">
        <v>46534</v>
      </c>
    </row>
    <row r="33" customFormat="false" ht="15" hidden="false" customHeight="false" outlineLevel="0" collapsed="false">
      <c r="A33" s="7" t="s">
        <v>180</v>
      </c>
      <c r="B33" s="8" t="n">
        <v>10.24</v>
      </c>
      <c r="C33" s="9" t="n">
        <v>22739</v>
      </c>
    </row>
    <row r="34" customFormat="false" ht="15" hidden="false" customHeight="false" outlineLevel="0" collapsed="false">
      <c r="A34" s="7" t="s">
        <v>181</v>
      </c>
      <c r="B34" s="8" t="n">
        <v>11.43</v>
      </c>
      <c r="C34" s="9" t="n">
        <v>11859</v>
      </c>
    </row>
    <row r="35" customFormat="false" ht="15" hidden="false" customHeight="false" outlineLevel="0" collapsed="false">
      <c r="A35" s="7" t="s">
        <v>182</v>
      </c>
      <c r="B35" s="8" t="n">
        <v>12.02</v>
      </c>
      <c r="C35" s="9" t="n">
        <v>6904</v>
      </c>
    </row>
    <row r="36" customFormat="false" ht="15" hidden="false" customHeight="false" outlineLevel="0" collapsed="false">
      <c r="A36" s="7" t="s">
        <v>183</v>
      </c>
      <c r="B36" s="8" t="n">
        <v>14.09</v>
      </c>
      <c r="C36" s="9" t="n">
        <v>12258</v>
      </c>
    </row>
    <row r="49" customFormat="false" ht="30" hidden="false" customHeight="true" outlineLevel="0" collapsed="false">
      <c r="A49" s="2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5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42" hidden="false" customHeight="true" outlineLevel="0" collapsed="false">
      <c r="A4" s="5" t="s">
        <v>187</v>
      </c>
      <c r="B4" s="4" t="s">
        <v>188</v>
      </c>
    </row>
    <row r="6" customFormat="false" ht="42" hidden="false" customHeight="true" outlineLevel="0" collapsed="false">
      <c r="A6" s="5" t="s">
        <v>189</v>
      </c>
      <c r="B6" s="4" t="s">
        <v>190</v>
      </c>
    </row>
    <row r="8" customFormat="false" ht="42" hidden="false" customHeight="true" outlineLevel="0" collapsed="false">
      <c r="A8" s="5" t="s">
        <v>191</v>
      </c>
      <c r="B8" s="4" t="s">
        <v>192</v>
      </c>
    </row>
    <row r="10" customFormat="false" ht="55.5" hidden="false" customHeight="true" outlineLevel="0" collapsed="false">
      <c r="A10" s="5" t="s">
        <v>193</v>
      </c>
      <c r="B10" s="4" t="s">
        <v>194</v>
      </c>
    </row>
    <row r="12" customFormat="false" ht="42" hidden="false" customHeight="true" outlineLevel="0" collapsed="false">
      <c r="A12" s="5" t="s">
        <v>195</v>
      </c>
      <c r="B12" s="4" t="s">
        <v>196</v>
      </c>
    </row>
    <row r="14" customFormat="false" ht="27.75" hidden="false" customHeight="true" outlineLevel="0" collapsed="false">
      <c r="A14" s="5" t="s">
        <v>197</v>
      </c>
      <c r="B14" s="4" t="s">
        <v>198</v>
      </c>
    </row>
    <row r="16" customFormat="false" ht="42" hidden="false" customHeight="true" outlineLevel="0" collapsed="false">
      <c r="A16" s="5" t="s">
        <v>199</v>
      </c>
      <c r="B16" s="4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2026-08-04T10:07:44Z</dcterms:created>
  <dc:creator>openpyxl</dc:creator>
  <dc:description/>
  <dc:language>en-US</dc:language>
  <cp:lastModifiedBy/>
  <dcterms:modified xsi:type="dcterms:W3CDTF">2026-08-04T10:07:58Z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